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3 Statement Financial Model for AI/"/>
    </mc:Choice>
  </mc:AlternateContent>
  <xr:revisionPtr revIDLastSave="2873" documentId="8_{2720BF72-9BEB-48ED-844F-272DF88C63BB}" xr6:coauthVersionLast="47" xr6:coauthVersionMax="47" xr10:uidLastSave="{93E6ECA4-E295-4D11-8400-A72F69C19878}"/>
  <workbookProtection workbookAlgorithmName="SHA-512" workbookHashValue="q3GOG7WDvLeTGgrXbs/VX0YTXbwGXyuLwEB8ugkJXYicji35ZkR2bdwp5G7B7fMxgX8QdTGBnln62oRiWjWl9w==" workbookSaltValue="9uBT+c2y6EFFuQiYfRfVRA==" workbookSpinCount="100000" lockStructure="1"/>
  <bookViews>
    <workbookView xWindow="-120" yWindow="-120" windowWidth="29040" windowHeight="15720" activeTab="4" xr2:uid="{5BB22CBA-EEAF-436A-9CEB-7237DA9EEFAD}"/>
  </bookViews>
  <sheets>
    <sheet name="Introduction" sheetId="18" r:id="rId1"/>
    <sheet name="Historical P&amp;L" sheetId="5" r:id="rId2"/>
    <sheet name="Historical Balance Sheet" sheetId="2" r:id="rId3"/>
    <sheet name="Historical Cash Flow" sheetId="16" r:id="rId4"/>
    <sheet name="Financial Model &amp; Forecast" sheetId="7" r:id="rId5"/>
    <sheet name="Scenario Assumptions" sheetId="15" r:id="rId6"/>
  </sheets>
  <definedNames>
    <definedName name="_xlnm._FilterDatabase" localSheetId="5" hidden="1">'Scenario Assumptions'!$A$1:$E$1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7" l="1"/>
  <c r="F92" i="7"/>
  <c r="E92" i="7"/>
  <c r="D92" i="7"/>
  <c r="C92" i="7"/>
  <c r="G88" i="7"/>
  <c r="F88" i="7"/>
  <c r="E88" i="7"/>
  <c r="D88" i="7"/>
  <c r="C88" i="7"/>
  <c r="G86" i="7"/>
  <c r="F86" i="7"/>
  <c r="E86" i="7"/>
  <c r="D86" i="7"/>
  <c r="C86" i="7"/>
  <c r="G87" i="7"/>
  <c r="F87" i="7"/>
  <c r="E87" i="7"/>
  <c r="D87" i="7"/>
  <c r="C87" i="7"/>
  <c r="G83" i="7"/>
  <c r="F83" i="7"/>
  <c r="E83" i="7"/>
  <c r="D83" i="7"/>
  <c r="C83" i="7"/>
  <c r="G82" i="7"/>
  <c r="F82" i="7"/>
  <c r="E82" i="7"/>
  <c r="D82" i="7"/>
  <c r="C82" i="7"/>
  <c r="G79" i="7"/>
  <c r="F79" i="7"/>
  <c r="E79" i="7"/>
  <c r="D79" i="7"/>
  <c r="C79" i="7"/>
  <c r="G75" i="7"/>
  <c r="F75" i="7"/>
  <c r="E75" i="7"/>
  <c r="D75" i="7"/>
  <c r="C75" i="7"/>
  <c r="G74" i="7"/>
  <c r="G42" i="7" s="1"/>
  <c r="F74" i="7"/>
  <c r="F42" i="7" s="1"/>
  <c r="E74" i="7"/>
  <c r="E42" i="7" s="1"/>
  <c r="D74" i="7"/>
  <c r="D42" i="7" s="1"/>
  <c r="G76" i="7"/>
  <c r="F76" i="7"/>
  <c r="E76" i="7"/>
  <c r="D76" i="7"/>
  <c r="G78" i="7"/>
  <c r="F78" i="7"/>
  <c r="E78" i="7"/>
  <c r="D78" i="7"/>
  <c r="G77" i="7"/>
  <c r="F77" i="7"/>
  <c r="E77" i="7"/>
  <c r="D77" i="7"/>
  <c r="C78" i="7"/>
  <c r="C77" i="7"/>
  <c r="C76" i="7"/>
  <c r="C74" i="7"/>
  <c r="C42" i="7" s="1"/>
  <c r="G73" i="7"/>
  <c r="F73" i="7"/>
  <c r="E73" i="7"/>
  <c r="D73" i="7"/>
  <c r="C73" i="7"/>
  <c r="H86" i="7"/>
  <c r="I75" i="7" l="1"/>
  <c r="J75" i="7" s="1"/>
  <c r="K75" i="7" s="1"/>
  <c r="L75" i="7" s="1"/>
  <c r="G37" i="7" l="1"/>
  <c r="F37" i="7"/>
  <c r="E37" i="7"/>
  <c r="D37" i="7"/>
  <c r="C37" i="7"/>
  <c r="I83" i="7"/>
  <c r="G59" i="7"/>
  <c r="F59" i="7"/>
  <c r="E59" i="7"/>
  <c r="D59" i="7"/>
  <c r="C59" i="7"/>
  <c r="J83" i="7" l="1"/>
  <c r="K83" i="7" s="1"/>
  <c r="L83" i="7" s="1"/>
  <c r="G53" i="7"/>
  <c r="H53" i="7" s="1"/>
  <c r="I53" i="7" s="1"/>
  <c r="J53" i="7" s="1"/>
  <c r="K53" i="7" s="1"/>
  <c r="L53" i="7" s="1"/>
  <c r="F53" i="7"/>
  <c r="E53" i="7"/>
  <c r="D53" i="7"/>
  <c r="C53" i="7"/>
  <c r="G22" i="7" l="1"/>
  <c r="F22" i="7"/>
  <c r="E22" i="7"/>
  <c r="D22" i="7"/>
  <c r="C22" i="7"/>
  <c r="H10" i="7" l="1"/>
  <c r="I10" i="7" s="1"/>
  <c r="J10" i="7" s="1"/>
  <c r="K10" i="7" s="1"/>
  <c r="L10" i="7" s="1"/>
  <c r="H59" i="7" l="1"/>
  <c r="G66" i="7"/>
  <c r="H66" i="7" s="1"/>
  <c r="I66" i="7" s="1"/>
  <c r="J66" i="7" s="1"/>
  <c r="K66" i="7" s="1"/>
  <c r="L66" i="7" s="1"/>
  <c r="F66" i="7"/>
  <c r="E66" i="7"/>
  <c r="D66" i="7"/>
  <c r="G65" i="7"/>
  <c r="F65" i="7"/>
  <c r="E65" i="7"/>
  <c r="D65" i="7"/>
  <c r="G64" i="7"/>
  <c r="H64" i="7" s="1"/>
  <c r="F64" i="7"/>
  <c r="E64" i="7"/>
  <c r="D64" i="7"/>
  <c r="C66" i="7"/>
  <c r="C65" i="7"/>
  <c r="C64" i="7"/>
  <c r="G60" i="7"/>
  <c r="H60" i="7" s="1"/>
  <c r="I60" i="7" s="1"/>
  <c r="J60" i="7" s="1"/>
  <c r="K60" i="7" s="1"/>
  <c r="L60" i="7" s="1"/>
  <c r="F60" i="7"/>
  <c r="E60" i="7"/>
  <c r="D60" i="7"/>
  <c r="G58" i="7"/>
  <c r="H58" i="7" s="1"/>
  <c r="F58" i="7"/>
  <c r="E58" i="7"/>
  <c r="D58" i="7"/>
  <c r="G57" i="7"/>
  <c r="F57" i="7"/>
  <c r="E57" i="7"/>
  <c r="D57" i="7"/>
  <c r="C60" i="7"/>
  <c r="C58" i="7"/>
  <c r="C57" i="7"/>
  <c r="G52" i="7"/>
  <c r="F52" i="7"/>
  <c r="E52" i="7"/>
  <c r="D52" i="7"/>
  <c r="G51" i="7"/>
  <c r="H51" i="7" s="1"/>
  <c r="I51" i="7" s="1"/>
  <c r="J51" i="7" s="1"/>
  <c r="K51" i="7" s="1"/>
  <c r="L51" i="7" s="1"/>
  <c r="F51" i="7"/>
  <c r="E51" i="7"/>
  <c r="D51" i="7"/>
  <c r="G50" i="7"/>
  <c r="F50" i="7"/>
  <c r="E50" i="7"/>
  <c r="D50" i="7"/>
  <c r="G49" i="7"/>
  <c r="F49" i="7"/>
  <c r="E49" i="7"/>
  <c r="D49" i="7"/>
  <c r="G48" i="7"/>
  <c r="F48" i="7"/>
  <c r="E48" i="7"/>
  <c r="D48" i="7"/>
  <c r="C52" i="7"/>
  <c r="C51" i="7"/>
  <c r="C50" i="7"/>
  <c r="C49" i="7"/>
  <c r="C48" i="7"/>
  <c r="G39" i="7"/>
  <c r="F39" i="7"/>
  <c r="E39" i="7"/>
  <c r="D39" i="7"/>
  <c r="G34" i="7"/>
  <c r="F34" i="7"/>
  <c r="E34" i="7"/>
  <c r="D34" i="7"/>
  <c r="G33" i="7"/>
  <c r="F33" i="7"/>
  <c r="E33" i="7"/>
  <c r="D33" i="7"/>
  <c r="G32" i="7"/>
  <c r="F32" i="7"/>
  <c r="E32" i="7"/>
  <c r="D32" i="7"/>
  <c r="G30" i="7"/>
  <c r="F30" i="7"/>
  <c r="E30" i="7"/>
  <c r="D30" i="7"/>
  <c r="G29" i="7"/>
  <c r="F29" i="7"/>
  <c r="E29" i="7"/>
  <c r="D29" i="7"/>
  <c r="C39" i="7"/>
  <c r="C34" i="7"/>
  <c r="C33" i="7"/>
  <c r="C32" i="7"/>
  <c r="C30" i="7"/>
  <c r="C29" i="7"/>
  <c r="I64" i="7" l="1"/>
  <c r="J64" i="7" s="1"/>
  <c r="K64" i="7" s="1"/>
  <c r="L64" i="7" s="1"/>
  <c r="I58" i="7"/>
  <c r="J58" i="7" s="1"/>
  <c r="K58" i="7" s="1"/>
  <c r="L58" i="7" s="1"/>
  <c r="C31" i="7"/>
  <c r="C11" i="7" s="1"/>
  <c r="H29" i="7"/>
  <c r="C19" i="7"/>
  <c r="H74" i="7"/>
  <c r="H42" i="7" s="1"/>
  <c r="G16" i="7"/>
  <c r="F17" i="7"/>
  <c r="I86" i="7"/>
  <c r="I59" i="7" s="1"/>
  <c r="D19" i="7"/>
  <c r="D13" i="7"/>
  <c r="G23" i="7"/>
  <c r="F23" i="7"/>
  <c r="E23" i="7"/>
  <c r="E19" i="7"/>
  <c r="E13" i="7"/>
  <c r="C23" i="7"/>
  <c r="G13" i="7"/>
  <c r="E18" i="7"/>
  <c r="D10" i="7"/>
  <c r="D23" i="7"/>
  <c r="D17" i="7"/>
  <c r="G19" i="7"/>
  <c r="G15" i="7"/>
  <c r="G17" i="7"/>
  <c r="F19" i="7"/>
  <c r="C17" i="7"/>
  <c r="D12" i="7"/>
  <c r="E12" i="7"/>
  <c r="F10" i="7"/>
  <c r="F12" i="7"/>
  <c r="G12" i="7"/>
  <c r="D16" i="7"/>
  <c r="D14" i="7"/>
  <c r="E17" i="7"/>
  <c r="E14" i="7"/>
  <c r="C13" i="7"/>
  <c r="F16" i="7"/>
  <c r="F14" i="7"/>
  <c r="C18" i="7"/>
  <c r="G14" i="7"/>
  <c r="D15" i="7"/>
  <c r="C14" i="7"/>
  <c r="E15" i="7"/>
  <c r="E10" i="7"/>
  <c r="C15" i="7"/>
  <c r="F13" i="7"/>
  <c r="D18" i="7"/>
  <c r="E16" i="7"/>
  <c r="F15" i="7"/>
  <c r="F18" i="7"/>
  <c r="G18" i="7"/>
  <c r="C16" i="7"/>
  <c r="G10" i="7"/>
  <c r="C12" i="7"/>
  <c r="C35" i="7"/>
  <c r="G31" i="7"/>
  <c r="G11" i="7" s="1"/>
  <c r="E31" i="7"/>
  <c r="E11" i="7" s="1"/>
  <c r="G35" i="7"/>
  <c r="D35" i="7"/>
  <c r="E35" i="7"/>
  <c r="F35" i="7"/>
  <c r="F31" i="7"/>
  <c r="F11" i="7" s="1"/>
  <c r="D31" i="7"/>
  <c r="D11" i="7" s="1"/>
  <c r="C84" i="7"/>
  <c r="C89" i="7"/>
  <c r="D89" i="7"/>
  <c r="E89" i="7"/>
  <c r="F89" i="7"/>
  <c r="G89" i="7"/>
  <c r="F84" i="7"/>
  <c r="E84" i="7"/>
  <c r="D80" i="7"/>
  <c r="E80" i="7"/>
  <c r="C80" i="7"/>
  <c r="G80" i="7"/>
  <c r="F80" i="7"/>
  <c r="G84" i="7"/>
  <c r="D84" i="7"/>
  <c r="C54" i="7"/>
  <c r="C61" i="7"/>
  <c r="D61" i="7"/>
  <c r="C67" i="7"/>
  <c r="F54" i="7"/>
  <c r="D67" i="7"/>
  <c r="G54" i="7"/>
  <c r="E67" i="7"/>
  <c r="D54" i="7"/>
  <c r="F67" i="7"/>
  <c r="E54" i="7"/>
  <c r="G67" i="7"/>
  <c r="E61" i="7"/>
  <c r="F61" i="7"/>
  <c r="G61" i="7"/>
  <c r="H33" i="7" l="1"/>
  <c r="H34" i="7"/>
  <c r="H32" i="7"/>
  <c r="H82" i="7"/>
  <c r="H52" i="7" s="1"/>
  <c r="H37" i="7"/>
  <c r="H79" i="7"/>
  <c r="I29" i="7"/>
  <c r="H49" i="7"/>
  <c r="J86" i="7"/>
  <c r="J59" i="7" s="1"/>
  <c r="G36" i="7"/>
  <c r="C36" i="7"/>
  <c r="D36" i="7"/>
  <c r="F36" i="7"/>
  <c r="E36" i="7"/>
  <c r="F69" i="7"/>
  <c r="F3" i="7" s="1"/>
  <c r="C69" i="7"/>
  <c r="C3" i="7" s="1"/>
  <c r="E69" i="7"/>
  <c r="E3" i="7" s="1"/>
  <c r="D69" i="7"/>
  <c r="D3" i="7" s="1"/>
  <c r="G69" i="7"/>
  <c r="G3" i="7" s="1"/>
  <c r="E91" i="7"/>
  <c r="E93" i="7" s="1"/>
  <c r="C91" i="7"/>
  <c r="C93" i="7" s="1"/>
  <c r="F91" i="7"/>
  <c r="F93" i="7" s="1"/>
  <c r="G91" i="7"/>
  <c r="G93" i="7" s="1"/>
  <c r="H92" i="7" s="1"/>
  <c r="D91" i="7"/>
  <c r="D93" i="7" s="1"/>
  <c r="G38" i="7" l="1"/>
  <c r="G40" i="7" s="1"/>
  <c r="G21" i="7" s="1"/>
  <c r="G43" i="7"/>
  <c r="E38" i="7"/>
  <c r="E40" i="7" s="1"/>
  <c r="E21" i="7" s="1"/>
  <c r="E43" i="7"/>
  <c r="F38" i="7"/>
  <c r="F40" i="7" s="1"/>
  <c r="F21" i="7" s="1"/>
  <c r="F43" i="7"/>
  <c r="D38" i="7"/>
  <c r="D40" i="7" s="1"/>
  <c r="D21" i="7" s="1"/>
  <c r="D43" i="7"/>
  <c r="C38" i="7"/>
  <c r="C40" i="7" s="1"/>
  <c r="C21" i="7" s="1"/>
  <c r="C43" i="7"/>
  <c r="H76" i="7"/>
  <c r="H84" i="7"/>
  <c r="I33" i="7"/>
  <c r="J29" i="7"/>
  <c r="I37" i="7"/>
  <c r="I79" i="7"/>
  <c r="I32" i="7"/>
  <c r="I49" i="7"/>
  <c r="I34" i="7"/>
  <c r="I82" i="7"/>
  <c r="H35" i="7"/>
  <c r="I74" i="7"/>
  <c r="I42" i="7" s="1"/>
  <c r="L86" i="7"/>
  <c r="K86" i="7"/>
  <c r="K59" i="7" s="1"/>
  <c r="E20" i="7" l="1"/>
  <c r="C20" i="7"/>
  <c r="D20" i="7"/>
  <c r="F20" i="7"/>
  <c r="G20" i="7"/>
  <c r="I52" i="7"/>
  <c r="J74" i="7" s="1"/>
  <c r="J42" i="7" s="1"/>
  <c r="I76" i="7"/>
  <c r="J49" i="7"/>
  <c r="L59" i="7"/>
  <c r="J33" i="7"/>
  <c r="I84" i="7"/>
  <c r="J34" i="7"/>
  <c r="J32" i="7"/>
  <c r="K29" i="7"/>
  <c r="J37" i="7"/>
  <c r="J79" i="7"/>
  <c r="J82" i="7"/>
  <c r="I35" i="7"/>
  <c r="J52" i="7" l="1"/>
  <c r="K74" i="7" s="1"/>
  <c r="K42" i="7" s="1"/>
  <c r="J76" i="7"/>
  <c r="J84" i="7"/>
  <c r="K34" i="7"/>
  <c r="K33" i="7"/>
  <c r="K32" i="7"/>
  <c r="L29" i="7"/>
  <c r="K79" i="7"/>
  <c r="K37" i="7"/>
  <c r="J35" i="7"/>
  <c r="K49" i="7"/>
  <c r="K82" i="7"/>
  <c r="K76" i="7" l="1"/>
  <c r="K52" i="7"/>
  <c r="L74" i="7" s="1"/>
  <c r="L42" i="7" s="1"/>
  <c r="L37" i="7"/>
  <c r="L82" i="7"/>
  <c r="K84" i="7"/>
  <c r="L34" i="7"/>
  <c r="K35" i="7"/>
  <c r="L32" i="7"/>
  <c r="L33" i="7"/>
  <c r="L49" i="7"/>
  <c r="L76" i="7" s="1"/>
  <c r="L79" i="7"/>
  <c r="L52" i="7" l="1"/>
  <c r="L84" i="7"/>
  <c r="L35" i="7"/>
  <c r="L30" i="7" l="1"/>
  <c r="L31" i="7" s="1"/>
  <c r="L36" i="7" s="1"/>
  <c r="L43" i="7" s="1"/>
  <c r="K30" i="7"/>
  <c r="K31" i="7" s="1"/>
  <c r="K36" i="7" s="1"/>
  <c r="K43" i="7" s="1"/>
  <c r="J30" i="7"/>
  <c r="J31" i="7" s="1"/>
  <c r="J36" i="7" s="1"/>
  <c r="J43" i="7" s="1"/>
  <c r="I30" i="7"/>
  <c r="I57" i="7" s="1"/>
  <c r="H30" i="7"/>
  <c r="H31" i="7" s="1"/>
  <c r="H36" i="7" s="1"/>
  <c r="H43" i="7" s="1"/>
  <c r="J50" i="7" l="1"/>
  <c r="K50" i="7"/>
  <c r="L57" i="7"/>
  <c r="H57" i="7"/>
  <c r="H78" i="7" s="1"/>
  <c r="H50" i="7"/>
  <c r="J57" i="7"/>
  <c r="J78" i="7" s="1"/>
  <c r="I50" i="7"/>
  <c r="I61" i="7"/>
  <c r="K38" i="7"/>
  <c r="H38" i="7"/>
  <c r="J38" i="7"/>
  <c r="L38" i="7"/>
  <c r="L50" i="7"/>
  <c r="I31" i="7"/>
  <c r="I36" i="7" s="1"/>
  <c r="I43" i="7" s="1"/>
  <c r="K57" i="7"/>
  <c r="K78" i="7" l="1"/>
  <c r="L61" i="7"/>
  <c r="L78" i="7"/>
  <c r="I78" i="7"/>
  <c r="J77" i="7"/>
  <c r="J61" i="7"/>
  <c r="I77" i="7"/>
  <c r="H77" i="7"/>
  <c r="L77" i="7"/>
  <c r="K77" i="7"/>
  <c r="H61" i="7"/>
  <c r="L39" i="7"/>
  <c r="L40" i="7" s="1"/>
  <c r="J39" i="7"/>
  <c r="J40" i="7" s="1"/>
  <c r="K61" i="7"/>
  <c r="K39" i="7"/>
  <c r="K40" i="7" s="1"/>
  <c r="I38" i="7"/>
  <c r="H39" i="7"/>
  <c r="H40" i="7" s="1"/>
  <c r="H73" i="7" l="1"/>
  <c r="H80" i="7" s="1"/>
  <c r="H87" i="7"/>
  <c r="H89" i="7" s="1"/>
  <c r="J87" i="7"/>
  <c r="J89" i="7" s="1"/>
  <c r="J73" i="7"/>
  <c r="J80" i="7" s="1"/>
  <c r="L87" i="7"/>
  <c r="L89" i="7" s="1"/>
  <c r="L73" i="7"/>
  <c r="L80" i="7" s="1"/>
  <c r="K87" i="7"/>
  <c r="K89" i="7" s="1"/>
  <c r="K73" i="7"/>
  <c r="K80" i="7" s="1"/>
  <c r="I39" i="7"/>
  <c r="I40" i="7" s="1"/>
  <c r="J91" i="7" l="1"/>
  <c r="L91" i="7"/>
  <c r="K91" i="7"/>
  <c r="H91" i="7"/>
  <c r="H93" i="7" s="1"/>
  <c r="H48" i="7" s="1"/>
  <c r="H54" i="7" s="1"/>
  <c r="I73" i="7"/>
  <c r="I80" i="7" s="1"/>
  <c r="I87" i="7"/>
  <c r="I89" i="7" s="1"/>
  <c r="H65" i="7"/>
  <c r="H67" i="7" s="1"/>
  <c r="I92" i="7" l="1"/>
  <c r="H69" i="7"/>
  <c r="I65" i="7"/>
  <c r="I91" i="7"/>
  <c r="H3" i="7" l="1"/>
  <c r="I93" i="7"/>
  <c r="I48" i="7" s="1"/>
  <c r="I54" i="7" s="1"/>
  <c r="J65" i="7"/>
  <c r="I67" i="7"/>
  <c r="J92" i="7" l="1"/>
  <c r="J93" i="7" s="1"/>
  <c r="J48" i="7" s="1"/>
  <c r="J54" i="7" s="1"/>
  <c r="J67" i="7"/>
  <c r="K65" i="7"/>
  <c r="I69" i="7"/>
  <c r="I3" i="7" l="1"/>
  <c r="K92" i="7"/>
  <c r="K93" i="7" s="1"/>
  <c r="L92" i="7" s="1"/>
  <c r="L93" i="7" s="1"/>
  <c r="L48" i="7" s="1"/>
  <c r="L54" i="7" s="1"/>
  <c r="J69" i="7"/>
  <c r="L65" i="7"/>
  <c r="L67" i="7" s="1"/>
  <c r="K67" i="7"/>
  <c r="J3" i="7" l="1"/>
  <c r="K48" i="7"/>
  <c r="K54" i="7" s="1"/>
  <c r="K69" i="7" s="1"/>
  <c r="L69" i="7"/>
  <c r="L3" i="7" s="1"/>
  <c r="K3" i="7" l="1"/>
</calcChain>
</file>

<file path=xl/sharedStrings.xml><?xml version="1.0" encoding="utf-8"?>
<sst xmlns="http://schemas.openxmlformats.org/spreadsheetml/2006/main" count="211" uniqueCount="189">
  <si>
    <t>Years Ended</t>
  </si>
  <si>
    <t>Net income (loss)</t>
  </si>
  <si>
    <t>Net revenue</t>
  </si>
  <si>
    <t>Cost of sales</t>
  </si>
  <si>
    <t>Gross profit</t>
  </si>
  <si>
    <t>Research and development</t>
  </si>
  <si>
    <t>Marketing, general and administrative</t>
  </si>
  <si>
    <t>Restructuring and other charges</t>
  </si>
  <si>
    <t>Operating expenses</t>
  </si>
  <si>
    <t>Operating income (loss)</t>
  </si>
  <si>
    <t>Gains (losses) on equity investments, net</t>
  </si>
  <si>
    <t>Interest and other, net</t>
  </si>
  <si>
    <t>Income (loss) before taxes</t>
  </si>
  <si>
    <t>Provision for (benefit from) taxes</t>
  </si>
  <si>
    <t>Less: net income (loss) attributable to non-controlling interests</t>
  </si>
  <si>
    <t>Net income (loss) attributable to Intel</t>
  </si>
  <si>
    <t>Earnings (loss) per share attributable to Intel — basic</t>
  </si>
  <si>
    <t>Earnings (loss) per share attributable to Intel — diluted</t>
  </si>
  <si>
    <t>Weighted average shares of common stock outstanding — Basic</t>
  </si>
  <si>
    <t>Weighted average shares of common stock outstanding — Diluted</t>
  </si>
  <si>
    <t>Dec 27, 2025</t>
  </si>
  <si>
    <t>Dec 28, 2024</t>
  </si>
  <si>
    <t>Dec 30, 2023</t>
  </si>
  <si>
    <t>Dec 31, 2022</t>
  </si>
  <si>
    <t>Assets</t>
  </si>
  <si>
    <t>Cash and cash equivalents</t>
  </si>
  <si>
    <t>Short-term investments</t>
  </si>
  <si>
    <t>Accounts receivable, net</t>
  </si>
  <si>
    <t>Inventories</t>
  </si>
  <si>
    <t>Other current assets</t>
  </si>
  <si>
    <t>Total current assets</t>
  </si>
  <si>
    <t>Property, plant and equipment, net</t>
  </si>
  <si>
    <t>Equity investments</t>
  </si>
  <si>
    <t>Goodwill</t>
  </si>
  <si>
    <t>Identified intangible assets, net</t>
  </si>
  <si>
    <t>Other long-term assets</t>
  </si>
  <si>
    <t>Total assets</t>
  </si>
  <si>
    <t>Liabilities and stockholders' equity</t>
  </si>
  <si>
    <t>Accounts payable</t>
  </si>
  <si>
    <t>Accrued compensation and benefits</t>
  </si>
  <si>
    <t>Short-term debt</t>
  </si>
  <si>
    <t>Income taxes payable</t>
  </si>
  <si>
    <t>Other accrued liabilities</t>
  </si>
  <si>
    <t>Total current liabilities</t>
  </si>
  <si>
    <t>Debt</t>
  </si>
  <si>
    <t>Other long-term liabilities</t>
  </si>
  <si>
    <t>Total liabilities</t>
  </si>
  <si>
    <t>Common stock and additional paid-in capital</t>
  </si>
  <si>
    <t>Accumulated other comprehensive income (loss)</t>
  </si>
  <si>
    <t>Retained earnings</t>
  </si>
  <si>
    <t>Total Intel stockholders' equity</t>
  </si>
  <si>
    <t>Non-controlling interests</t>
  </si>
  <si>
    <t>Total stockholders' equity</t>
  </si>
  <si>
    <t>Total liabilities and stockholders' equity</t>
  </si>
  <si>
    <t>Dec 25, 2021</t>
  </si>
  <si>
    <t>Assets held for sale</t>
  </si>
  <si>
    <t>Long-term income taxes payable</t>
  </si>
  <si>
    <t>Deferred income tax</t>
  </si>
  <si>
    <t>Income Statement</t>
  </si>
  <si>
    <t>EBT</t>
  </si>
  <si>
    <t>Balance Sheet</t>
  </si>
  <si>
    <t>Inventory</t>
  </si>
  <si>
    <t>Total Assets</t>
  </si>
  <si>
    <t>Liabilities</t>
  </si>
  <si>
    <t>Research &amp; Development</t>
  </si>
  <si>
    <t xml:space="preserve">SG&amp;A </t>
  </si>
  <si>
    <t>Total Operating Expenses</t>
  </si>
  <si>
    <t>EBIT (Operating Income)</t>
  </si>
  <si>
    <t>Interest &amp; Other (net)</t>
  </si>
  <si>
    <t>Net Income</t>
  </si>
  <si>
    <t>Cash &amp; Cash Equivalents</t>
  </si>
  <si>
    <t>Accounts Payable</t>
  </si>
  <si>
    <t>Equity</t>
  </si>
  <si>
    <t>Common Stock &amp; APIC</t>
  </si>
  <si>
    <t>Retained Earnings</t>
  </si>
  <si>
    <t>Non-Controlling Interest</t>
  </si>
  <si>
    <t>Total Equity</t>
  </si>
  <si>
    <t>Change in Accounts Receivable</t>
  </si>
  <si>
    <t>Change in Inventory</t>
  </si>
  <si>
    <t>Change in Accounts Payable</t>
  </si>
  <si>
    <t>Cash Flow from Operations</t>
  </si>
  <si>
    <t>Capital Expenditures</t>
  </si>
  <si>
    <t>Other Investing Activities</t>
  </si>
  <si>
    <t>Cash Flow from Investing (CFI)</t>
  </si>
  <si>
    <t>Dividends Paid</t>
  </si>
  <si>
    <t>Other Financing</t>
  </si>
  <si>
    <t>Cash Flow from Financing (CFF)</t>
  </si>
  <si>
    <t>Net Change in Cash</t>
  </si>
  <si>
    <t>Beginning Cash</t>
  </si>
  <si>
    <t>Ending Cash</t>
  </si>
  <si>
    <t>Accounts Receivable</t>
  </si>
  <si>
    <t>Other Current Assets</t>
  </si>
  <si>
    <t>Depreciation &amp; Amortization</t>
  </si>
  <si>
    <t>Other Long-Term Liabilities</t>
  </si>
  <si>
    <t>Other Long-Term Assets</t>
  </si>
  <si>
    <t>Total Liabilities</t>
  </si>
  <si>
    <t>Check</t>
  </si>
  <si>
    <t>Balance Sheet Check</t>
  </si>
  <si>
    <t>Historical Results</t>
  </si>
  <si>
    <t>Forecast Period</t>
  </si>
  <si>
    <t>Assumptions</t>
  </si>
  <si>
    <t>Cash Flow Statement</t>
  </si>
  <si>
    <t>Net Revenue</t>
  </si>
  <si>
    <t>Cost of Revenue</t>
  </si>
  <si>
    <t>Model Helper (Cross - Statement) D&amp;A (from CF)</t>
  </si>
  <si>
    <t>EBITDA</t>
  </si>
  <si>
    <t>Revenue Growth (% Change)</t>
  </si>
  <si>
    <t>Gross Margin (%)</t>
  </si>
  <si>
    <t>SG&amp;A (% of Revenue)</t>
  </si>
  <si>
    <t>Research and Development (% of Revenue)</t>
  </si>
  <si>
    <t>Accounts Receivable (Days)</t>
  </si>
  <si>
    <t>Inventory (Days)</t>
  </si>
  <si>
    <t>Accounts Payable (Days)</t>
  </si>
  <si>
    <t>Capex (% of Revenue)</t>
  </si>
  <si>
    <t>D&amp;A (% of PPE)</t>
  </si>
  <si>
    <t xml:space="preserve">Debt Issuance (Repayment) </t>
  </si>
  <si>
    <t>Key Assumptions</t>
  </si>
  <si>
    <t>Days in Period</t>
  </si>
  <si>
    <t>Provision (Benefit) Tax Rate (%)</t>
  </si>
  <si>
    <t>Interest &amp; other (net) (% of Revenue)</t>
  </si>
  <si>
    <t>Accrued Liabilities</t>
  </si>
  <si>
    <t xml:space="preserve">Other Non-Cash Items </t>
  </si>
  <si>
    <t>Assumption Category</t>
  </si>
  <si>
    <t>Assumption Name</t>
  </si>
  <si>
    <t>Revenue Growth (%)</t>
  </si>
  <si>
    <t>Dividend Payout Ratio (%)</t>
  </si>
  <si>
    <t>Scenario</t>
  </si>
  <si>
    <t>Base</t>
  </si>
  <si>
    <t>Bull</t>
  </si>
  <si>
    <t>Bear</t>
  </si>
  <si>
    <t>Debt Issuance (Repayment)</t>
  </si>
  <si>
    <t>Cash and cash equivalents, beginning of period</t>
  </si>
  <si>
    <t>Cash flows provided by (used for) operating activities:</t>
  </si>
  <si>
    <t>Depreciation</t>
  </si>
  <si>
    <t>Share-based compensation</t>
  </si>
  <si>
    <t>Amortization of intangibles</t>
  </si>
  <si>
    <t>(Gains) losses on equity investments, net</t>
  </si>
  <si>
    <t>(Gains) losses on divestitures</t>
  </si>
  <si>
    <t>Mark-to-market (gains) losses on Escrowed Shares</t>
  </si>
  <si>
    <t>Deferred taxes</t>
  </si>
  <si>
    <t>Impairments and net (gain) loss on retirement of property, plant and equipment</t>
  </si>
  <si>
    <t>Accounts receivable</t>
  </si>
  <si>
    <t>Income taxes</t>
  </si>
  <si>
    <t>Other assets and liabilities</t>
  </si>
  <si>
    <t>Total adjustments</t>
  </si>
  <si>
    <t>Net cash provided by operating activities</t>
  </si>
  <si>
    <t>Cash flows provided by (used for) investing activities:</t>
  </si>
  <si>
    <t>Additions to property, plant and equipment</t>
  </si>
  <si>
    <t>Proceeds from capital-related government incentives</t>
  </si>
  <si>
    <t>Purchases of short-term investments</t>
  </si>
  <si>
    <t>Maturities and sales of short-term investments</t>
  </si>
  <si>
    <t>Sales of equity investments</t>
  </si>
  <si>
    <t>Proceeds from divestitures, net</t>
  </si>
  <si>
    <t>Other investing</t>
  </si>
  <si>
    <t>Net cash used for investing activities</t>
  </si>
  <si>
    <t>Cash flows provided by (used for) financing activities:</t>
  </si>
  <si>
    <t>Issuance of commercial paper, net of issuance costs</t>
  </si>
  <si>
    <t>Repayment of commercial paper</t>
  </si>
  <si>
    <t>Partner contributions</t>
  </si>
  <si>
    <t>Net proceeds from sales of subsidiary shares</t>
  </si>
  <si>
    <t>Issuance of long-term debt, net of issuance costs</t>
  </si>
  <si>
    <t>Repayment of debt</t>
  </si>
  <si>
    <t>Proceeds from sales of common stock through employee equity incentive plans</t>
  </si>
  <si>
    <t>Net proceeds attributable to common stock and warrants issued, and Escrowed Shares</t>
  </si>
  <si>
    <t>Restricted stock unit withholdings</t>
  </si>
  <si>
    <t>Payment of dividends to stockholders</t>
  </si>
  <si>
    <t>Other financing</t>
  </si>
  <si>
    <t>Net cash provided by financing activities</t>
  </si>
  <si>
    <t>Net increase (decrease) in cash and cash equivalents</t>
  </si>
  <si>
    <t>Cash, cash equivalents, and restricted cash, end of period</t>
  </si>
  <si>
    <t>Prepaid customer suppy agreements</t>
  </si>
  <si>
    <t>Additions to held for sale NAND property, plant and equipment</t>
  </si>
  <si>
    <t>Purchases of equity investments</t>
  </si>
  <si>
    <t>Payments on finance leases</t>
  </si>
  <si>
    <t>Repurchase of common stock</t>
  </si>
  <si>
    <t>Change in Other Assets &amp; Liabilities</t>
  </si>
  <si>
    <t>Restructuring &amp; other charges (% of Revenue)</t>
  </si>
  <si>
    <t>Introduction &amp; Information</t>
  </si>
  <si>
    <t>Purpose of creating this model is purely for personal development &amp; practice &amp; curiosity - All forecasted numbers are based on personal analysis &amp; opinion</t>
  </si>
  <si>
    <t xml:space="preserve">Please do not publish the model anywhere. But if you are interested in using or developing the model for your personal development &amp; curiosity, feel free </t>
  </si>
  <si>
    <t xml:space="preserve">If you`d like to discuss the model or have any questions about assumptions &amp; formulas, please contact me </t>
  </si>
  <si>
    <t>Enjoy Exploring!</t>
  </si>
  <si>
    <t>Best Regards,</t>
  </si>
  <si>
    <t>Berk Tansuker</t>
  </si>
  <si>
    <t xml:space="preserve">Github </t>
  </si>
  <si>
    <t>LinkedIn</t>
  </si>
  <si>
    <t>E-Mail</t>
  </si>
  <si>
    <t>All previous financial data were taked from Intel Annual Reports (Income Statement &amp; Balance Sheet &amp; Cash Flow) - All publicly available</t>
  </si>
  <si>
    <t>MODEL AND FINANCIAL DATA DO NOT CONTAIN ANY SENSITIVE DATA &amp;  FINANCIAL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</si>
</sst>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(#,##0\)_-;_-* &quot;-&quot;_-;_-@"/>
  </numFmts>
  <fonts count="19" x14ac:knownFonts="1"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3"/>
      <color theme="0"/>
      <name val="Arial Narrow"/>
      <family val="2"/>
    </font>
    <font>
      <sz val="11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50"/>
      <color theme="0"/>
      <name val="Arial"/>
      <family val="2"/>
    </font>
    <font>
      <u/>
      <sz val="10"/>
      <color theme="10"/>
      <name val="Arial"/>
      <family val="2"/>
    </font>
    <font>
      <b/>
      <sz val="15"/>
      <color theme="1"/>
      <name val="Arial"/>
      <family val="2"/>
    </font>
    <font>
      <b/>
      <sz val="15"/>
      <color theme="0"/>
      <name val="Arial"/>
      <family val="2"/>
    </font>
    <font>
      <sz val="15"/>
      <color theme="1"/>
      <name val="Arial"/>
      <family val="2"/>
    </font>
    <font>
      <b/>
      <u/>
      <sz val="15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0" fillId="2" borderId="0" xfId="0" applyNumberFormat="1" applyFill="1"/>
    <xf numFmtId="0" fontId="6" fillId="2" borderId="0" xfId="0" applyFont="1" applyFill="1"/>
    <xf numFmtId="0" fontId="7" fillId="6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2" borderId="0" xfId="0" applyFont="1" applyFill="1"/>
    <xf numFmtId="3" fontId="9" fillId="2" borderId="0" xfId="0" applyNumberFormat="1" applyFont="1" applyFill="1"/>
    <xf numFmtId="164" fontId="10" fillId="0" borderId="0" xfId="0" applyNumberFormat="1" applyFont="1" applyAlignment="1">
      <alignment horizontal="right"/>
    </xf>
    <xf numFmtId="0" fontId="5" fillId="2" borderId="0" xfId="0" applyFont="1" applyFill="1"/>
    <xf numFmtId="0" fontId="5" fillId="0" borderId="0" xfId="0" applyFont="1"/>
    <xf numFmtId="3" fontId="5" fillId="2" borderId="0" xfId="0" applyNumberFormat="1" applyFont="1" applyFill="1"/>
    <xf numFmtId="9" fontId="9" fillId="2" borderId="0" xfId="1" applyFont="1" applyFill="1"/>
    <xf numFmtId="1" fontId="9" fillId="2" borderId="0" xfId="0" applyNumberFormat="1" applyFont="1" applyFill="1"/>
    <xf numFmtId="0" fontId="5" fillId="2" borderId="2" xfId="0" applyFont="1" applyFill="1" applyBorder="1"/>
    <xf numFmtId="0" fontId="9" fillId="2" borderId="2" xfId="0" applyFont="1" applyFill="1" applyBorder="1"/>
    <xf numFmtId="3" fontId="5" fillId="2" borderId="2" xfId="0" applyNumberFormat="1" applyFont="1" applyFill="1" applyBorder="1"/>
    <xf numFmtId="9" fontId="0" fillId="2" borderId="0" xfId="1" applyFont="1" applyFill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3" fillId="4" borderId="0" xfId="0" applyFont="1" applyFill="1"/>
    <xf numFmtId="0" fontId="15" fillId="2" borderId="0" xfId="0" applyFont="1" applyFill="1"/>
    <xf numFmtId="0" fontId="16" fillId="4" borderId="0" xfId="0" applyFont="1" applyFill="1"/>
    <xf numFmtId="0" fontId="17" fillId="2" borderId="0" xfId="0" applyFont="1" applyFill="1"/>
    <xf numFmtId="0" fontId="18" fillId="2" borderId="0" xfId="2" applyFont="1" applyFill="1"/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rktansuker1998@gmail.com" TargetMode="External"/><Relationship Id="rId2" Type="http://schemas.openxmlformats.org/officeDocument/2006/relationships/hyperlink" Target="https://www.linkedin.com/in/berk-t-958b23168/" TargetMode="External"/><Relationship Id="rId1" Type="http://schemas.openxmlformats.org/officeDocument/2006/relationships/hyperlink" Target="https://github.com/Btansuker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1F8A-3D8F-4415-8F87-BB2EA0315DD8}">
  <sheetPr>
    <tabColor theme="2" tint="-0.499984740745262"/>
  </sheetPr>
  <dimension ref="A2:B22"/>
  <sheetViews>
    <sheetView workbookViewId="0">
      <selection activeCell="B11" sqref="B11"/>
    </sheetView>
  </sheetViews>
  <sheetFormatPr defaultRowHeight="12.75" x14ac:dyDescent="0.2"/>
  <cols>
    <col min="1" max="1" width="68.28515625" style="1" customWidth="1"/>
    <col min="2" max="2" width="128.140625" style="1" bestFit="1" customWidth="1"/>
    <col min="3" max="16384" width="9.140625" style="1"/>
  </cols>
  <sheetData>
    <row r="2" spans="1:2" ht="63" x14ac:dyDescent="0.85">
      <c r="B2" s="30" t="s">
        <v>177</v>
      </c>
    </row>
    <row r="5" spans="1:2" ht="19.5" x14ac:dyDescent="0.3">
      <c r="A5" s="31" t="s">
        <v>187</v>
      </c>
    </row>
    <row r="6" spans="1:2" ht="19.5" x14ac:dyDescent="0.3">
      <c r="A6" s="31"/>
    </row>
    <row r="7" spans="1:2" ht="19.5" x14ac:dyDescent="0.3">
      <c r="A7" s="31" t="s">
        <v>178</v>
      </c>
    </row>
    <row r="8" spans="1:2" ht="19.5" x14ac:dyDescent="0.3">
      <c r="A8" s="31"/>
    </row>
    <row r="9" spans="1:2" ht="19.5" x14ac:dyDescent="0.3">
      <c r="A9" s="31" t="s">
        <v>188</v>
      </c>
    </row>
    <row r="10" spans="1:2" ht="19.5" x14ac:dyDescent="0.3">
      <c r="A10" s="31"/>
    </row>
    <row r="11" spans="1:2" ht="19.5" x14ac:dyDescent="0.3">
      <c r="A11" s="31" t="s">
        <v>179</v>
      </c>
    </row>
    <row r="12" spans="1:2" ht="19.5" x14ac:dyDescent="0.3">
      <c r="A12" s="31"/>
    </row>
    <row r="13" spans="1:2" ht="19.5" x14ac:dyDescent="0.3">
      <c r="A13" s="31" t="s">
        <v>180</v>
      </c>
    </row>
    <row r="14" spans="1:2" ht="19.5" x14ac:dyDescent="0.3">
      <c r="A14" s="31"/>
    </row>
    <row r="15" spans="1:2" ht="19.5" x14ac:dyDescent="0.3">
      <c r="A15" s="32" t="s">
        <v>181</v>
      </c>
    </row>
    <row r="16" spans="1:2" ht="18.75" x14ac:dyDescent="0.25">
      <c r="A16" s="33"/>
    </row>
    <row r="17" spans="1:1" ht="19.5" x14ac:dyDescent="0.3">
      <c r="A17" s="31" t="s">
        <v>182</v>
      </c>
    </row>
    <row r="18" spans="1:1" ht="19.5" x14ac:dyDescent="0.3">
      <c r="A18" s="31" t="s">
        <v>183</v>
      </c>
    </row>
    <row r="19" spans="1:1" x14ac:dyDescent="0.2">
      <c r="A19" s="17"/>
    </row>
    <row r="20" spans="1:1" ht="19.5" x14ac:dyDescent="0.3">
      <c r="A20" s="34" t="s">
        <v>184</v>
      </c>
    </row>
    <row r="21" spans="1:1" ht="19.5" x14ac:dyDescent="0.3">
      <c r="A21" s="34" t="s">
        <v>185</v>
      </c>
    </row>
    <row r="22" spans="1:1" ht="19.5" x14ac:dyDescent="0.3">
      <c r="A22" s="34" t="s">
        <v>186</v>
      </c>
    </row>
  </sheetData>
  <sheetProtection algorithmName="SHA-512" hashValue="SJHBasCYfEKpuAHeVnKhb4YX+KdomzNVVWfaIRaVpMvWn1Gej/YqjSgIVAlwAzs0KGVQNLIaUIztuIFb43hf6g==" saltValue="sNfVHOK7rAwCXysqBxfQ1A==" spinCount="100000" sheet="1" objects="1" scenarios="1"/>
  <hyperlinks>
    <hyperlink ref="A20" r:id="rId1" xr:uid="{292B50FE-3E85-49BC-87A0-3317A313CD14}"/>
    <hyperlink ref="A21" r:id="rId2" xr:uid="{EFA54ECE-08A9-4887-880C-ABB6CB81C5C1}"/>
    <hyperlink ref="A22" r:id="rId3" xr:uid="{29D34EB7-DE3D-4D77-B1DE-6F60706CE5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FE37-C763-467C-B88E-6EB0925DFCD7}">
  <sheetPr>
    <tabColor theme="2" tint="-0.499984740745262"/>
  </sheetPr>
  <dimension ref="A1:F2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ColWidth="23.140625" defaultRowHeight="27.75" customHeight="1" x14ac:dyDescent="0.2"/>
  <cols>
    <col min="1" max="1" width="53.28515625" style="1" customWidth="1"/>
    <col min="2" max="16384" width="23.140625" style="1"/>
  </cols>
  <sheetData>
    <row r="1" spans="1:6" ht="27.75" customHeight="1" thickBot="1" x14ac:dyDescent="0.3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ht="27.75" customHeight="1" thickBot="1" x14ac:dyDescent="0.3">
      <c r="A2" s="4" t="s">
        <v>2</v>
      </c>
      <c r="B2" s="5">
        <v>79024</v>
      </c>
      <c r="C2" s="5">
        <v>63054</v>
      </c>
      <c r="D2" s="5">
        <v>54228</v>
      </c>
      <c r="E2" s="5">
        <v>53101</v>
      </c>
      <c r="F2" s="5">
        <v>52853</v>
      </c>
    </row>
    <row r="3" spans="1:6" ht="23.25" customHeight="1" thickBot="1" x14ac:dyDescent="0.3">
      <c r="A3" s="4" t="s">
        <v>3</v>
      </c>
      <c r="B3" s="5">
        <v>35209</v>
      </c>
      <c r="C3" s="5">
        <v>36188</v>
      </c>
      <c r="D3" s="5">
        <v>32517</v>
      </c>
      <c r="E3" s="5">
        <v>35756</v>
      </c>
      <c r="F3" s="5">
        <v>34478</v>
      </c>
    </row>
    <row r="4" spans="1:6" ht="27.75" customHeight="1" thickBot="1" x14ac:dyDescent="0.3">
      <c r="A4" s="3" t="s">
        <v>4</v>
      </c>
      <c r="B4" s="6">
        <v>43815</v>
      </c>
      <c r="C4" s="6">
        <v>26866</v>
      </c>
      <c r="D4" s="6">
        <v>21711</v>
      </c>
      <c r="E4" s="6">
        <v>17345</v>
      </c>
      <c r="F4" s="6">
        <v>18375</v>
      </c>
    </row>
    <row r="5" spans="1:6" ht="27.75" customHeight="1" thickBot="1" x14ac:dyDescent="0.3">
      <c r="A5" s="4" t="s">
        <v>5</v>
      </c>
      <c r="B5" s="5">
        <v>15190</v>
      </c>
      <c r="C5" s="5">
        <v>17528</v>
      </c>
      <c r="D5" s="5">
        <v>16046</v>
      </c>
      <c r="E5" s="5">
        <v>16546</v>
      </c>
      <c r="F5" s="5">
        <v>13774</v>
      </c>
    </row>
    <row r="6" spans="1:6" ht="27.75" customHeight="1" thickBot="1" x14ac:dyDescent="0.3">
      <c r="A6" s="4" t="s">
        <v>6</v>
      </c>
      <c r="B6" s="5">
        <v>6543</v>
      </c>
      <c r="C6" s="5">
        <v>7002</v>
      </c>
      <c r="D6" s="5">
        <v>5634</v>
      </c>
      <c r="E6" s="5">
        <v>5507</v>
      </c>
      <c r="F6" s="5">
        <v>4624</v>
      </c>
    </row>
    <row r="7" spans="1:6" ht="27.75" customHeight="1" thickBot="1" x14ac:dyDescent="0.3">
      <c r="A7" s="4" t="s">
        <v>7</v>
      </c>
      <c r="B7" s="5">
        <v>2626</v>
      </c>
      <c r="C7" s="7">
        <v>2</v>
      </c>
      <c r="D7" s="7">
        <v>-62</v>
      </c>
      <c r="E7" s="5">
        <v>6970</v>
      </c>
      <c r="F7" s="5">
        <v>2191</v>
      </c>
    </row>
    <row r="8" spans="1:6" ht="27.75" customHeight="1" thickBot="1" x14ac:dyDescent="0.3">
      <c r="A8" s="3" t="s">
        <v>8</v>
      </c>
      <c r="B8" s="6">
        <v>24359</v>
      </c>
      <c r="C8" s="6">
        <v>24532</v>
      </c>
      <c r="D8" s="6">
        <v>21618</v>
      </c>
      <c r="E8" s="6">
        <v>29023</v>
      </c>
      <c r="F8" s="6">
        <v>20589</v>
      </c>
    </row>
    <row r="9" spans="1:6" ht="27.75" customHeight="1" thickBot="1" x14ac:dyDescent="0.3">
      <c r="A9" s="3" t="s">
        <v>9</v>
      </c>
      <c r="B9" s="6">
        <v>19456</v>
      </c>
      <c r="C9" s="6">
        <v>2334</v>
      </c>
      <c r="D9" s="8">
        <v>93</v>
      </c>
      <c r="E9" s="6">
        <v>-11678</v>
      </c>
      <c r="F9" s="6">
        <v>-2214</v>
      </c>
    </row>
    <row r="10" spans="1:6" ht="27.75" customHeight="1" thickBot="1" x14ac:dyDescent="0.3">
      <c r="A10" s="4" t="s">
        <v>10</v>
      </c>
      <c r="B10" s="5">
        <v>2729</v>
      </c>
      <c r="C10" s="5">
        <v>4268</v>
      </c>
      <c r="D10" s="7">
        <v>40</v>
      </c>
      <c r="E10" s="7">
        <v>242</v>
      </c>
      <c r="F10" s="7">
        <v>514</v>
      </c>
    </row>
    <row r="11" spans="1:6" ht="27.75" customHeight="1" thickBot="1" x14ac:dyDescent="0.3">
      <c r="A11" s="4" t="s">
        <v>11</v>
      </c>
      <c r="B11" s="7">
        <v>-482</v>
      </c>
      <c r="C11" s="5">
        <v>1166</v>
      </c>
      <c r="D11" s="7">
        <v>629</v>
      </c>
      <c r="E11" s="7">
        <v>226</v>
      </c>
      <c r="F11" s="5">
        <v>3257</v>
      </c>
    </row>
    <row r="12" spans="1:6" ht="27.75" customHeight="1" thickBot="1" x14ac:dyDescent="0.3">
      <c r="A12" s="3" t="s">
        <v>12</v>
      </c>
      <c r="B12" s="6">
        <v>21703</v>
      </c>
      <c r="C12" s="6">
        <v>7768</v>
      </c>
      <c r="D12" s="8">
        <v>762</v>
      </c>
      <c r="E12" s="6">
        <v>-11210</v>
      </c>
      <c r="F12" s="6">
        <v>1557</v>
      </c>
    </row>
    <row r="13" spans="1:6" ht="27.75" customHeight="1" thickBot="1" x14ac:dyDescent="0.3">
      <c r="A13" s="4" t="s">
        <v>13</v>
      </c>
      <c r="B13" s="5">
        <v>1835</v>
      </c>
      <c r="C13" s="7">
        <v>-249</v>
      </c>
      <c r="D13" s="7">
        <v>-913</v>
      </c>
      <c r="E13" s="5">
        <v>8023</v>
      </c>
      <c r="F13" s="5">
        <v>1531</v>
      </c>
    </row>
    <row r="14" spans="1:6" ht="36" customHeight="1" thickBot="1" x14ac:dyDescent="0.3">
      <c r="A14" s="3" t="s">
        <v>1</v>
      </c>
      <c r="B14" s="6">
        <v>19868</v>
      </c>
      <c r="C14" s="6">
        <v>8017</v>
      </c>
      <c r="D14" s="6">
        <v>1675</v>
      </c>
      <c r="E14" s="6">
        <v>-19233</v>
      </c>
      <c r="F14" s="8">
        <v>26</v>
      </c>
    </row>
    <row r="15" spans="1:6" ht="27.75" customHeight="1" thickBot="1" x14ac:dyDescent="0.3">
      <c r="A15" s="4" t="s">
        <v>14</v>
      </c>
      <c r="B15" s="7">
        <v>0</v>
      </c>
      <c r="C15" s="7">
        <v>3</v>
      </c>
      <c r="D15" s="7">
        <v>-14</v>
      </c>
      <c r="E15" s="7">
        <v>-477</v>
      </c>
      <c r="F15" s="7">
        <v>293</v>
      </c>
    </row>
    <row r="16" spans="1:6" ht="27.75" customHeight="1" thickBot="1" x14ac:dyDescent="0.3">
      <c r="A16" s="3" t="s">
        <v>15</v>
      </c>
      <c r="B16" s="6">
        <v>19868</v>
      </c>
      <c r="C16" s="6">
        <v>8014</v>
      </c>
      <c r="D16" s="6">
        <v>1689</v>
      </c>
      <c r="E16" s="6">
        <v>-18756</v>
      </c>
      <c r="F16" s="8">
        <v>-267</v>
      </c>
    </row>
    <row r="17" spans="1:6" ht="27.75" customHeight="1" thickBot="1" x14ac:dyDescent="0.3">
      <c r="A17" s="4" t="s">
        <v>16</v>
      </c>
      <c r="B17" s="7">
        <v>4.8899999999999997</v>
      </c>
      <c r="C17" s="7">
        <v>1.95</v>
      </c>
      <c r="D17" s="7">
        <v>0.4</v>
      </c>
      <c r="E17" s="7">
        <v>-4.38</v>
      </c>
      <c r="F17" s="7">
        <v>-0.06</v>
      </c>
    </row>
    <row r="18" spans="1:6" ht="27.75" customHeight="1" thickBot="1" x14ac:dyDescent="0.3">
      <c r="A18" s="4" t="s">
        <v>17</v>
      </c>
      <c r="B18" s="7">
        <v>4.8600000000000003</v>
      </c>
      <c r="C18" s="7">
        <v>1.94</v>
      </c>
      <c r="D18" s="7">
        <v>0.4</v>
      </c>
      <c r="E18" s="7">
        <v>-4.38</v>
      </c>
      <c r="F18" s="7">
        <v>-0.06</v>
      </c>
    </row>
    <row r="19" spans="1:6" ht="37.5" customHeight="1" thickBot="1" x14ac:dyDescent="0.3">
      <c r="A19" s="4" t="s">
        <v>18</v>
      </c>
      <c r="B19" s="5">
        <v>4059</v>
      </c>
      <c r="C19" s="5">
        <v>4108</v>
      </c>
      <c r="D19" s="5">
        <v>4190</v>
      </c>
      <c r="E19" s="5">
        <v>4280</v>
      </c>
      <c r="F19" s="5">
        <v>4530</v>
      </c>
    </row>
    <row r="20" spans="1:6" ht="35.25" customHeight="1" thickBot="1" x14ac:dyDescent="0.3">
      <c r="A20" s="4" t="s">
        <v>19</v>
      </c>
      <c r="B20" s="5">
        <v>4090</v>
      </c>
      <c r="C20" s="5">
        <v>4123</v>
      </c>
      <c r="D20" s="5">
        <v>4212</v>
      </c>
      <c r="E20" s="5">
        <v>4280</v>
      </c>
      <c r="F20" s="5">
        <v>4530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8765-37EC-486B-8BF1-F78873F5701A}">
  <sheetPr>
    <tabColor theme="2" tint="-0.499984740745262"/>
  </sheetPr>
  <dimension ref="A1:F3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ColWidth="25.28515625" defaultRowHeight="28.5" customHeight="1" x14ac:dyDescent="0.2"/>
  <cols>
    <col min="1" max="1" width="60.5703125" style="1" customWidth="1"/>
    <col min="2" max="2" width="18.5703125" style="1" customWidth="1"/>
    <col min="3" max="4" width="17.42578125" style="1" customWidth="1"/>
    <col min="5" max="5" width="16.85546875" style="1" customWidth="1"/>
    <col min="6" max="6" width="18" style="1" customWidth="1"/>
    <col min="7" max="16384" width="25.28515625" style="1"/>
  </cols>
  <sheetData>
    <row r="1" spans="1:6" ht="28.5" customHeight="1" thickBot="1" x14ac:dyDescent="0.3">
      <c r="A1" s="2" t="s">
        <v>0</v>
      </c>
      <c r="B1" s="2" t="s">
        <v>54</v>
      </c>
      <c r="C1" s="2" t="s">
        <v>23</v>
      </c>
      <c r="D1" s="2" t="s">
        <v>22</v>
      </c>
      <c r="E1" s="2" t="s">
        <v>21</v>
      </c>
      <c r="F1" s="2" t="s">
        <v>20</v>
      </c>
    </row>
    <row r="2" spans="1:6" ht="23.25" customHeight="1" thickBot="1" x14ac:dyDescent="0.3">
      <c r="A2" s="3" t="s">
        <v>24</v>
      </c>
      <c r="B2" s="7"/>
      <c r="C2" s="7"/>
      <c r="D2" s="7"/>
      <c r="E2" s="7"/>
      <c r="F2" s="7"/>
    </row>
    <row r="3" spans="1:6" ht="28.5" customHeight="1" thickBot="1" x14ac:dyDescent="0.3">
      <c r="A3" s="4" t="s">
        <v>25</v>
      </c>
      <c r="B3" s="5">
        <v>4827</v>
      </c>
      <c r="C3" s="5">
        <v>11144</v>
      </c>
      <c r="D3" s="5">
        <v>7079</v>
      </c>
      <c r="E3" s="5">
        <v>8249</v>
      </c>
      <c r="F3" s="5">
        <v>14265</v>
      </c>
    </row>
    <row r="4" spans="1:6" ht="28.5" customHeight="1" thickBot="1" x14ac:dyDescent="0.3">
      <c r="A4" s="4" t="s">
        <v>26</v>
      </c>
      <c r="B4" s="5">
        <v>23586</v>
      </c>
      <c r="C4" s="5">
        <v>17194</v>
      </c>
      <c r="D4" s="5">
        <v>17955</v>
      </c>
      <c r="E4" s="5">
        <v>13813</v>
      </c>
      <c r="F4" s="5">
        <v>23151</v>
      </c>
    </row>
    <row r="5" spans="1:6" ht="28.5" customHeight="1" thickBot="1" x14ac:dyDescent="0.3">
      <c r="A5" s="4" t="s">
        <v>27</v>
      </c>
      <c r="B5" s="5">
        <v>9457</v>
      </c>
      <c r="C5" s="5">
        <v>4133</v>
      </c>
      <c r="D5" s="5">
        <v>3402</v>
      </c>
      <c r="E5" s="5">
        <v>3478</v>
      </c>
      <c r="F5" s="5">
        <v>3839</v>
      </c>
    </row>
    <row r="6" spans="1:6" ht="28.5" customHeight="1" thickBot="1" x14ac:dyDescent="0.3">
      <c r="A6" s="4" t="s">
        <v>28</v>
      </c>
      <c r="B6" s="5">
        <v>10776</v>
      </c>
      <c r="C6" s="5">
        <v>13224</v>
      </c>
      <c r="D6" s="5">
        <v>11127</v>
      </c>
      <c r="E6" s="5">
        <v>12198</v>
      </c>
      <c r="F6" s="5">
        <v>11618</v>
      </c>
    </row>
    <row r="7" spans="1:6" ht="28.5" customHeight="1" thickBot="1" x14ac:dyDescent="0.3">
      <c r="A7" s="4" t="s">
        <v>55</v>
      </c>
      <c r="B7" s="5">
        <v>6942</v>
      </c>
      <c r="C7" s="7">
        <v>0</v>
      </c>
      <c r="D7" s="7">
        <v>0</v>
      </c>
      <c r="E7" s="7">
        <v>0</v>
      </c>
      <c r="F7" s="7">
        <v>0</v>
      </c>
    </row>
    <row r="8" spans="1:6" ht="28.5" customHeight="1" thickBot="1" x14ac:dyDescent="0.3">
      <c r="A8" s="4" t="s">
        <v>29</v>
      </c>
      <c r="B8" s="5">
        <v>2130</v>
      </c>
      <c r="C8" s="5">
        <v>4712</v>
      </c>
      <c r="D8" s="5">
        <v>3706</v>
      </c>
      <c r="E8" s="5">
        <v>9586</v>
      </c>
      <c r="F8" s="5">
        <v>10815</v>
      </c>
    </row>
    <row r="9" spans="1:6" ht="28.5" customHeight="1" thickBot="1" x14ac:dyDescent="0.3">
      <c r="A9" s="3" t="s">
        <v>30</v>
      </c>
      <c r="B9" s="6">
        <v>57718</v>
      </c>
      <c r="C9" s="6">
        <v>50407</v>
      </c>
      <c r="D9" s="6">
        <v>43269</v>
      </c>
      <c r="E9" s="6">
        <v>47324</v>
      </c>
      <c r="F9" s="6">
        <v>63688</v>
      </c>
    </row>
    <row r="10" spans="1:6" ht="28.5" customHeight="1" thickBot="1" x14ac:dyDescent="0.3">
      <c r="A10" s="4" t="s">
        <v>31</v>
      </c>
      <c r="B10" s="5">
        <v>63245</v>
      </c>
      <c r="C10" s="5">
        <v>80860</v>
      </c>
      <c r="D10" s="5">
        <v>96647</v>
      </c>
      <c r="E10" s="5">
        <v>107919</v>
      </c>
      <c r="F10" s="5">
        <v>105414</v>
      </c>
    </row>
    <row r="11" spans="1:6" ht="28.5" customHeight="1" thickBot="1" x14ac:dyDescent="0.3">
      <c r="A11" s="4" t="s">
        <v>32</v>
      </c>
      <c r="B11" s="5">
        <v>6298</v>
      </c>
      <c r="C11" s="5">
        <v>5912</v>
      </c>
      <c r="D11" s="5">
        <v>5829</v>
      </c>
      <c r="E11" s="5">
        <v>5383</v>
      </c>
      <c r="F11" s="5">
        <v>8512</v>
      </c>
    </row>
    <row r="12" spans="1:6" ht="28.5" customHeight="1" thickBot="1" x14ac:dyDescent="0.3">
      <c r="A12" s="4" t="s">
        <v>33</v>
      </c>
      <c r="B12" s="5">
        <v>26963</v>
      </c>
      <c r="C12" s="5">
        <v>27591</v>
      </c>
      <c r="D12" s="5">
        <v>27591</v>
      </c>
      <c r="E12" s="5">
        <v>24693</v>
      </c>
      <c r="F12" s="5">
        <v>23912</v>
      </c>
    </row>
    <row r="13" spans="1:6" ht="28.5" customHeight="1" thickBot="1" x14ac:dyDescent="0.3">
      <c r="A13" s="4" t="s">
        <v>34</v>
      </c>
      <c r="B13" s="5">
        <v>7270</v>
      </c>
      <c r="C13" s="5">
        <v>6018</v>
      </c>
      <c r="D13" s="5">
        <v>4589</v>
      </c>
      <c r="E13" s="5">
        <v>3691</v>
      </c>
      <c r="F13" s="5">
        <v>2772</v>
      </c>
    </row>
    <row r="14" spans="1:6" ht="28.5" customHeight="1" thickBot="1" x14ac:dyDescent="0.3">
      <c r="A14" s="4" t="s">
        <v>35</v>
      </c>
      <c r="B14" s="5">
        <v>6912</v>
      </c>
      <c r="C14" s="5">
        <v>11315</v>
      </c>
      <c r="D14" s="5">
        <v>13647</v>
      </c>
      <c r="E14" s="5">
        <v>7475</v>
      </c>
      <c r="F14" s="5">
        <v>7131</v>
      </c>
    </row>
    <row r="15" spans="1:6" ht="28.5" customHeight="1" thickBot="1" x14ac:dyDescent="0.3">
      <c r="A15" s="3" t="s">
        <v>36</v>
      </c>
      <c r="B15" s="6">
        <v>168406</v>
      </c>
      <c r="C15" s="6">
        <v>182103</v>
      </c>
      <c r="D15" s="6">
        <v>191572</v>
      </c>
      <c r="E15" s="6">
        <v>196485</v>
      </c>
      <c r="F15" s="6">
        <v>211429</v>
      </c>
    </row>
    <row r="16" spans="1:6" ht="28.5" customHeight="1" thickBot="1" x14ac:dyDescent="0.3">
      <c r="A16" s="3" t="s">
        <v>37</v>
      </c>
      <c r="B16" s="7"/>
      <c r="C16" s="7"/>
      <c r="D16" s="7"/>
      <c r="E16" s="7"/>
      <c r="F16" s="7"/>
    </row>
    <row r="17" spans="1:6" ht="28.5" customHeight="1" thickBot="1" x14ac:dyDescent="0.3">
      <c r="A17" s="4" t="s">
        <v>40</v>
      </c>
      <c r="B17" s="5">
        <v>4591</v>
      </c>
      <c r="C17" s="5">
        <v>4367</v>
      </c>
      <c r="D17" s="5">
        <v>2288</v>
      </c>
      <c r="E17" s="5">
        <v>3729</v>
      </c>
      <c r="F17" s="5">
        <v>2499</v>
      </c>
    </row>
    <row r="18" spans="1:6" ht="28.5" customHeight="1" thickBot="1" x14ac:dyDescent="0.3">
      <c r="A18" s="4" t="s">
        <v>38</v>
      </c>
      <c r="B18" s="5">
        <v>5747</v>
      </c>
      <c r="C18" s="5">
        <v>9595</v>
      </c>
      <c r="D18" s="5">
        <v>8578</v>
      </c>
      <c r="E18" s="5">
        <v>12556</v>
      </c>
      <c r="F18" s="5">
        <v>9882</v>
      </c>
    </row>
    <row r="19" spans="1:6" ht="28.5" customHeight="1" thickBot="1" x14ac:dyDescent="0.3">
      <c r="A19" s="4" t="s">
        <v>39</v>
      </c>
      <c r="B19" s="5">
        <v>4535</v>
      </c>
      <c r="C19" s="5">
        <v>4084</v>
      </c>
      <c r="D19" s="5">
        <v>3655</v>
      </c>
      <c r="E19" s="5">
        <v>3343</v>
      </c>
      <c r="F19" s="5">
        <v>3990</v>
      </c>
    </row>
    <row r="20" spans="1:6" ht="28.5" customHeight="1" thickBot="1" x14ac:dyDescent="0.3">
      <c r="A20" s="4" t="s">
        <v>41</v>
      </c>
      <c r="B20" s="5">
        <v>0</v>
      </c>
      <c r="C20" s="5">
        <v>2251</v>
      </c>
      <c r="D20" s="5">
        <v>1107</v>
      </c>
      <c r="E20" s="5">
        <v>1756</v>
      </c>
      <c r="F20" s="7">
        <v>604</v>
      </c>
    </row>
    <row r="21" spans="1:6" ht="28.5" customHeight="1" thickBot="1" x14ac:dyDescent="0.3">
      <c r="A21" s="4" t="s">
        <v>42</v>
      </c>
      <c r="B21" s="5">
        <v>12589</v>
      </c>
      <c r="C21" s="5">
        <v>11858</v>
      </c>
      <c r="D21" s="5">
        <v>12425</v>
      </c>
      <c r="E21" s="5">
        <v>14282</v>
      </c>
      <c r="F21" s="5">
        <v>14600</v>
      </c>
    </row>
    <row r="22" spans="1:6" ht="28.5" customHeight="1" thickBot="1" x14ac:dyDescent="0.3">
      <c r="A22" s="3" t="s">
        <v>43</v>
      </c>
      <c r="B22" s="6">
        <v>27462</v>
      </c>
      <c r="C22" s="6">
        <v>32155</v>
      </c>
      <c r="D22" s="6">
        <v>28053</v>
      </c>
      <c r="E22" s="6">
        <v>35666</v>
      </c>
      <c r="F22" s="6">
        <v>31575</v>
      </c>
    </row>
    <row r="23" spans="1:6" ht="28.5" customHeight="1" thickBot="1" x14ac:dyDescent="0.3">
      <c r="A23" s="4" t="s">
        <v>44</v>
      </c>
      <c r="B23" s="5">
        <v>33510</v>
      </c>
      <c r="C23" s="5">
        <v>37684</v>
      </c>
      <c r="D23" s="5">
        <v>46978</v>
      </c>
      <c r="E23" s="5">
        <v>46282</v>
      </c>
      <c r="F23" s="5">
        <v>44086</v>
      </c>
    </row>
    <row r="24" spans="1:6" ht="28.5" customHeight="1" thickBot="1" x14ac:dyDescent="0.3">
      <c r="A24" s="4" t="s">
        <v>56</v>
      </c>
      <c r="B24" s="5">
        <v>4305</v>
      </c>
      <c r="C24" s="5">
        <v>0</v>
      </c>
      <c r="D24" s="7">
        <v>0</v>
      </c>
      <c r="E24" s="7">
        <v>0</v>
      </c>
      <c r="F24" s="7">
        <v>0</v>
      </c>
    </row>
    <row r="25" spans="1:6" ht="28.5" customHeight="1" thickBot="1" x14ac:dyDescent="0.3">
      <c r="A25" s="4" t="s">
        <v>57</v>
      </c>
      <c r="B25" s="5">
        <v>2667</v>
      </c>
      <c r="C25" s="7">
        <v>0</v>
      </c>
      <c r="D25" s="7">
        <v>0</v>
      </c>
      <c r="E25" s="7">
        <v>0</v>
      </c>
      <c r="F25" s="7">
        <v>0</v>
      </c>
    </row>
    <row r="26" spans="1:6" ht="28.5" customHeight="1" thickBot="1" x14ac:dyDescent="0.3">
      <c r="A26" s="4" t="s">
        <v>45</v>
      </c>
      <c r="B26" s="5">
        <v>5071</v>
      </c>
      <c r="C26" s="5">
        <v>8978</v>
      </c>
      <c r="D26" s="5">
        <v>6576</v>
      </c>
      <c r="E26" s="5">
        <v>9505</v>
      </c>
      <c r="F26" s="5">
        <v>9408</v>
      </c>
    </row>
    <row r="27" spans="1:6" ht="28.5" customHeight="1" thickBot="1" x14ac:dyDescent="0.3">
      <c r="A27" s="3" t="s">
        <v>46</v>
      </c>
      <c r="B27" s="6">
        <v>73015</v>
      </c>
      <c r="C27" s="6">
        <v>78817</v>
      </c>
      <c r="D27" s="6">
        <v>81607</v>
      </c>
      <c r="E27" s="6">
        <v>91453</v>
      </c>
      <c r="F27" s="6">
        <v>85069</v>
      </c>
    </row>
    <row r="28" spans="1:6" ht="28.5" customHeight="1" thickBot="1" x14ac:dyDescent="0.3">
      <c r="A28" s="4" t="s">
        <v>47</v>
      </c>
      <c r="B28" s="5">
        <v>28006</v>
      </c>
      <c r="C28" s="5">
        <v>31580</v>
      </c>
      <c r="D28" s="5">
        <v>36649</v>
      </c>
      <c r="E28" s="5">
        <v>50949</v>
      </c>
      <c r="F28" s="5">
        <v>65185</v>
      </c>
    </row>
    <row r="29" spans="1:6" ht="28.5" customHeight="1" thickBot="1" x14ac:dyDescent="0.3">
      <c r="A29" s="4" t="s">
        <v>48</v>
      </c>
      <c r="B29" s="7">
        <v>-880</v>
      </c>
      <c r="C29" s="7">
        <v>-562</v>
      </c>
      <c r="D29" s="7">
        <v>-215</v>
      </c>
      <c r="E29" s="7">
        <v>-711</v>
      </c>
      <c r="F29" s="7">
        <v>113</v>
      </c>
    </row>
    <row r="30" spans="1:6" ht="28.5" customHeight="1" thickBot="1" x14ac:dyDescent="0.3">
      <c r="A30" s="4" t="s">
        <v>49</v>
      </c>
      <c r="B30" s="5">
        <v>68265</v>
      </c>
      <c r="C30" s="5">
        <v>70405</v>
      </c>
      <c r="D30" s="5">
        <v>69156</v>
      </c>
      <c r="E30" s="5">
        <v>49032</v>
      </c>
      <c r="F30" s="5">
        <v>48983</v>
      </c>
    </row>
    <row r="31" spans="1:6" ht="28.5" customHeight="1" thickBot="1" x14ac:dyDescent="0.3">
      <c r="A31" s="3" t="s">
        <v>50</v>
      </c>
      <c r="B31" s="6">
        <v>95391</v>
      </c>
      <c r="C31" s="6">
        <v>101423</v>
      </c>
      <c r="D31" s="6">
        <v>105590</v>
      </c>
      <c r="E31" s="6">
        <v>99270</v>
      </c>
      <c r="F31" s="6">
        <v>114281</v>
      </c>
    </row>
    <row r="32" spans="1:6" ht="28.5" customHeight="1" thickBot="1" x14ac:dyDescent="0.3">
      <c r="A32" s="4" t="s">
        <v>51</v>
      </c>
      <c r="B32" s="7">
        <v>0</v>
      </c>
      <c r="C32" s="5">
        <v>1863</v>
      </c>
      <c r="D32" s="5">
        <v>4375</v>
      </c>
      <c r="E32" s="5">
        <v>5762</v>
      </c>
      <c r="F32" s="5">
        <v>12079</v>
      </c>
    </row>
    <row r="33" spans="1:6" ht="28.5" customHeight="1" thickBot="1" x14ac:dyDescent="0.3">
      <c r="A33" s="3" t="s">
        <v>52</v>
      </c>
      <c r="B33" s="6">
        <v>95391</v>
      </c>
      <c r="C33" s="6">
        <v>103286</v>
      </c>
      <c r="D33" s="6">
        <v>109965</v>
      </c>
      <c r="E33" s="6">
        <v>105032</v>
      </c>
      <c r="F33" s="6">
        <v>126360</v>
      </c>
    </row>
    <row r="34" spans="1:6" ht="28.5" customHeight="1" thickBot="1" x14ac:dyDescent="0.3">
      <c r="A34" s="3" t="s">
        <v>53</v>
      </c>
      <c r="B34" s="6">
        <v>168406</v>
      </c>
      <c r="C34" s="6">
        <v>182103</v>
      </c>
      <c r="D34" s="6">
        <v>191572</v>
      </c>
      <c r="E34" s="6">
        <v>196485</v>
      </c>
      <c r="F34" s="6">
        <v>211429</v>
      </c>
    </row>
    <row r="35" spans="1:6" ht="28.5" customHeight="1" x14ac:dyDescent="0.2">
      <c r="B35" s="9"/>
      <c r="C35" s="9"/>
      <c r="D35" s="9"/>
      <c r="E35" s="9"/>
      <c r="F35" s="9"/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1CF4-927E-4D10-BB82-F8CF9FC28CBA}">
  <sheetPr>
    <tabColor theme="2" tint="-0.499984740745262"/>
  </sheetPr>
  <dimension ref="A1:F51"/>
  <sheetViews>
    <sheetView topLeftCell="A21" zoomScale="90" zoomScaleNormal="90" workbookViewId="0">
      <selection activeCell="B38" sqref="B38"/>
    </sheetView>
  </sheetViews>
  <sheetFormatPr defaultColWidth="30" defaultRowHeight="12.75" x14ac:dyDescent="0.2"/>
  <cols>
    <col min="1" max="1" width="55.42578125" style="1" customWidth="1"/>
    <col min="2" max="6" width="12.7109375" style="1" customWidth="1"/>
    <col min="7" max="16384" width="30" style="1"/>
  </cols>
  <sheetData>
    <row r="1" spans="1:6" ht="15.75" thickBot="1" x14ac:dyDescent="0.3">
      <c r="A1" s="2" t="s">
        <v>0</v>
      </c>
      <c r="B1" s="2" t="s">
        <v>54</v>
      </c>
      <c r="C1" s="2" t="s">
        <v>23</v>
      </c>
      <c r="D1" s="2" t="s">
        <v>22</v>
      </c>
      <c r="E1" s="2" t="s">
        <v>21</v>
      </c>
      <c r="F1" s="2" t="s">
        <v>20</v>
      </c>
    </row>
    <row r="2" spans="1:6" ht="15.75" thickBot="1" x14ac:dyDescent="0.3">
      <c r="A2" s="26" t="s">
        <v>131</v>
      </c>
      <c r="B2" s="5">
        <v>5865</v>
      </c>
      <c r="C2" s="5">
        <v>4827</v>
      </c>
      <c r="D2" s="5">
        <v>11144</v>
      </c>
      <c r="E2" s="5">
        <v>7079</v>
      </c>
      <c r="F2" s="5">
        <v>8249</v>
      </c>
    </row>
    <row r="3" spans="1:6" ht="15.75" thickBot="1" x14ac:dyDescent="0.3">
      <c r="A3" s="26" t="s">
        <v>132</v>
      </c>
      <c r="B3" s="5"/>
      <c r="C3" s="5"/>
      <c r="D3" s="5"/>
      <c r="E3" s="5"/>
      <c r="F3" s="5"/>
    </row>
    <row r="4" spans="1:6" ht="15.75" thickBot="1" x14ac:dyDescent="0.3">
      <c r="A4" s="4" t="s">
        <v>1</v>
      </c>
      <c r="B4" s="5">
        <v>19868</v>
      </c>
      <c r="C4" s="5">
        <v>8017</v>
      </c>
      <c r="D4" s="5">
        <v>1675</v>
      </c>
      <c r="E4" s="5">
        <v>-19233</v>
      </c>
      <c r="F4" s="5">
        <v>26</v>
      </c>
    </row>
    <row r="5" spans="1:6" ht="15.75" thickBot="1" x14ac:dyDescent="0.3">
      <c r="A5" s="4" t="s">
        <v>133</v>
      </c>
      <c r="B5" s="5">
        <v>9953</v>
      </c>
      <c r="C5" s="5">
        <v>11128</v>
      </c>
      <c r="D5" s="5">
        <v>7847</v>
      </c>
      <c r="E5" s="5">
        <v>9951</v>
      </c>
      <c r="F5" s="5">
        <v>10757</v>
      </c>
    </row>
    <row r="6" spans="1:6" ht="15.75" thickBot="1" x14ac:dyDescent="0.3">
      <c r="A6" s="4" t="s">
        <v>134</v>
      </c>
      <c r="B6" s="5">
        <v>2036</v>
      </c>
      <c r="C6" s="5">
        <v>3128</v>
      </c>
      <c r="D6" s="5">
        <v>3229</v>
      </c>
      <c r="E6" s="5">
        <v>3410</v>
      </c>
      <c r="F6" s="5">
        <v>2434</v>
      </c>
    </row>
    <row r="7" spans="1:6" ht="15.75" thickBot="1" x14ac:dyDescent="0.3">
      <c r="A7" s="4" t="s">
        <v>7</v>
      </c>
      <c r="B7" s="5">
        <v>2626</v>
      </c>
      <c r="C7" s="5">
        <v>1074</v>
      </c>
      <c r="D7" s="5">
        <v>-424</v>
      </c>
      <c r="E7" s="5">
        <v>3491</v>
      </c>
      <c r="F7" s="5">
        <v>476</v>
      </c>
    </row>
    <row r="8" spans="1:6" ht="15.75" thickBot="1" x14ac:dyDescent="0.3">
      <c r="A8" s="4" t="s">
        <v>135</v>
      </c>
      <c r="B8" s="5">
        <v>1839</v>
      </c>
      <c r="C8" s="5">
        <v>1907</v>
      </c>
      <c r="D8" s="5">
        <v>1755</v>
      </c>
      <c r="E8" s="5">
        <v>1428</v>
      </c>
      <c r="F8" s="5">
        <v>949</v>
      </c>
    </row>
    <row r="9" spans="1:6" ht="15.75" thickBot="1" x14ac:dyDescent="0.3">
      <c r="A9" s="4" t="s">
        <v>136</v>
      </c>
      <c r="B9" s="5">
        <v>-1458</v>
      </c>
      <c r="C9" s="5">
        <v>-4254</v>
      </c>
      <c r="D9" s="5">
        <v>-42</v>
      </c>
      <c r="E9" s="5">
        <v>-246</v>
      </c>
      <c r="F9" s="5">
        <v>-514</v>
      </c>
    </row>
    <row r="10" spans="1:6" ht="15.75" thickBot="1" x14ac:dyDescent="0.3">
      <c r="A10" s="4" t="s">
        <v>137</v>
      </c>
      <c r="B10" s="5">
        <v>0</v>
      </c>
      <c r="C10" s="5">
        <v>-1059</v>
      </c>
      <c r="D10" s="5">
        <v>0</v>
      </c>
      <c r="E10" s="5">
        <v>0</v>
      </c>
      <c r="F10" s="5">
        <v>-5323</v>
      </c>
    </row>
    <row r="11" spans="1:6" ht="15.75" thickBot="1" x14ac:dyDescent="0.3">
      <c r="A11" s="4" t="s">
        <v>138</v>
      </c>
      <c r="B11" s="5">
        <v>0</v>
      </c>
      <c r="C11" s="5">
        <v>0</v>
      </c>
      <c r="D11" s="5">
        <v>0</v>
      </c>
      <c r="E11" s="5">
        <v>0</v>
      </c>
      <c r="F11" s="5">
        <v>1796</v>
      </c>
    </row>
    <row r="12" spans="1:6" ht="15.75" thickBot="1" x14ac:dyDescent="0.3">
      <c r="A12" s="4" t="s">
        <v>139</v>
      </c>
      <c r="B12" s="5">
        <v>0</v>
      </c>
      <c r="C12" s="5">
        <v>0</v>
      </c>
      <c r="D12" s="5">
        <v>-2033</v>
      </c>
      <c r="E12" s="5">
        <v>6132</v>
      </c>
      <c r="F12" s="5">
        <v>328</v>
      </c>
    </row>
    <row r="13" spans="1:6" ht="30.75" thickBot="1" x14ac:dyDescent="0.3">
      <c r="A13" s="4" t="s">
        <v>140</v>
      </c>
      <c r="B13" s="5">
        <v>0</v>
      </c>
      <c r="C13" s="5">
        <v>0</v>
      </c>
      <c r="D13" s="5">
        <v>33</v>
      </c>
      <c r="E13" s="5">
        <v>2252</v>
      </c>
      <c r="F13" s="5">
        <v>515</v>
      </c>
    </row>
    <row r="14" spans="1:6" ht="15.75" thickBot="1" x14ac:dyDescent="0.3">
      <c r="A14" s="4" t="s">
        <v>141</v>
      </c>
      <c r="B14" s="5">
        <v>-2674</v>
      </c>
      <c r="C14" s="5">
        <v>5327</v>
      </c>
      <c r="D14" s="5">
        <v>731</v>
      </c>
      <c r="E14" s="5">
        <v>-75</v>
      </c>
      <c r="F14" s="5">
        <v>-449</v>
      </c>
    </row>
    <row r="15" spans="1:6" ht="15.75" thickBot="1" x14ac:dyDescent="0.3">
      <c r="A15" s="4" t="s">
        <v>28</v>
      </c>
      <c r="B15" s="5">
        <v>-2339</v>
      </c>
      <c r="C15" s="5">
        <v>-2436</v>
      </c>
      <c r="D15" s="5">
        <v>2097</v>
      </c>
      <c r="E15" s="5">
        <v>-1105</v>
      </c>
      <c r="F15" s="5">
        <v>-138</v>
      </c>
    </row>
    <row r="16" spans="1:6" ht="15.75" thickBot="1" x14ac:dyDescent="0.3">
      <c r="A16" s="4" t="s">
        <v>38</v>
      </c>
      <c r="B16" s="5">
        <v>1190</v>
      </c>
      <c r="C16" s="5">
        <v>-29</v>
      </c>
      <c r="D16" s="5">
        <v>-801</v>
      </c>
      <c r="E16" s="5">
        <v>634</v>
      </c>
      <c r="F16" s="5">
        <v>297</v>
      </c>
    </row>
    <row r="17" spans="1:6" ht="15.75" thickBot="1" x14ac:dyDescent="0.3">
      <c r="A17" s="4" t="s">
        <v>170</v>
      </c>
      <c r="B17" s="5">
        <v>-1583</v>
      </c>
      <c r="C17" s="5">
        <v>-24</v>
      </c>
      <c r="D17" s="5">
        <v>0</v>
      </c>
      <c r="E17" s="5">
        <v>0</v>
      </c>
      <c r="F17" s="5">
        <v>0</v>
      </c>
    </row>
    <row r="18" spans="1:6" ht="15.75" thickBot="1" x14ac:dyDescent="0.3">
      <c r="A18" s="4" t="s">
        <v>39</v>
      </c>
      <c r="B18" s="5">
        <v>515</v>
      </c>
      <c r="C18" s="5">
        <v>-1533</v>
      </c>
      <c r="D18" s="5">
        <v>-614</v>
      </c>
      <c r="E18" s="5">
        <v>-218</v>
      </c>
      <c r="F18" s="5">
        <v>788</v>
      </c>
    </row>
    <row r="19" spans="1:6" ht="15.75" thickBot="1" x14ac:dyDescent="0.3">
      <c r="A19" s="4" t="s">
        <v>142</v>
      </c>
      <c r="B19" s="5">
        <v>-441</v>
      </c>
      <c r="C19" s="5">
        <v>-4535</v>
      </c>
      <c r="D19" s="5">
        <v>-1498</v>
      </c>
      <c r="E19" s="5">
        <v>-356</v>
      </c>
      <c r="F19" s="5">
        <v>-995</v>
      </c>
    </row>
    <row r="20" spans="1:6" ht="15.75" thickBot="1" x14ac:dyDescent="0.3">
      <c r="A20" s="4" t="s">
        <v>143</v>
      </c>
      <c r="B20" s="5">
        <v>-76</v>
      </c>
      <c r="C20" s="5">
        <v>-1278</v>
      </c>
      <c r="D20" s="5">
        <v>-484</v>
      </c>
      <c r="E20" s="5">
        <v>2223</v>
      </c>
      <c r="F20" s="5">
        <v>-1250</v>
      </c>
    </row>
    <row r="21" spans="1:6" ht="15.75" thickBot="1" x14ac:dyDescent="0.3">
      <c r="A21" s="26" t="s">
        <v>144</v>
      </c>
      <c r="B21" s="5">
        <v>9588</v>
      </c>
      <c r="C21" s="5">
        <v>7416</v>
      </c>
      <c r="D21" s="5">
        <v>9796</v>
      </c>
      <c r="E21" s="5">
        <v>27521</v>
      </c>
      <c r="F21" s="5">
        <v>9671</v>
      </c>
    </row>
    <row r="22" spans="1:6" ht="15.75" thickBot="1" x14ac:dyDescent="0.3">
      <c r="A22" s="26" t="s">
        <v>145</v>
      </c>
      <c r="B22" s="5">
        <v>29456</v>
      </c>
      <c r="C22" s="5">
        <v>15433</v>
      </c>
      <c r="D22" s="5">
        <v>11471</v>
      </c>
      <c r="E22" s="5">
        <v>8288</v>
      </c>
      <c r="F22" s="5">
        <v>9697</v>
      </c>
    </row>
    <row r="23" spans="1:6" ht="15.75" thickBot="1" x14ac:dyDescent="0.3">
      <c r="A23" s="26" t="s">
        <v>146</v>
      </c>
      <c r="B23" s="5"/>
      <c r="C23" s="5"/>
      <c r="D23" s="5"/>
      <c r="E23" s="5"/>
      <c r="F23" s="5"/>
    </row>
    <row r="24" spans="1:6" ht="15.75" thickBot="1" x14ac:dyDescent="0.3">
      <c r="A24" s="27" t="s">
        <v>147</v>
      </c>
      <c r="B24" s="5">
        <v>-18733</v>
      </c>
      <c r="C24" s="5">
        <v>-24844</v>
      </c>
      <c r="D24" s="5">
        <v>-25750</v>
      </c>
      <c r="E24" s="5">
        <v>-23944</v>
      </c>
      <c r="F24" s="5">
        <v>-14646</v>
      </c>
    </row>
    <row r="25" spans="1:6" ht="29.25" thickBot="1" x14ac:dyDescent="0.3">
      <c r="A25" s="27" t="s">
        <v>171</v>
      </c>
      <c r="B25" s="5">
        <v>-1596</v>
      </c>
      <c r="C25" s="5">
        <v>-206</v>
      </c>
      <c r="D25" s="5">
        <v>0</v>
      </c>
      <c r="E25" s="5">
        <v>0</v>
      </c>
      <c r="F25" s="5">
        <v>0</v>
      </c>
    </row>
    <row r="26" spans="1:6" ht="15.75" thickBot="1" x14ac:dyDescent="0.3">
      <c r="A26" s="27" t="s">
        <v>148</v>
      </c>
      <c r="B26" s="5">
        <v>166</v>
      </c>
      <c r="C26" s="5">
        <v>246</v>
      </c>
      <c r="D26" s="5">
        <v>1011</v>
      </c>
      <c r="E26" s="5">
        <v>1936</v>
      </c>
      <c r="F26" s="5">
        <v>1577</v>
      </c>
    </row>
    <row r="27" spans="1:6" ht="15.75" thickBot="1" x14ac:dyDescent="0.3">
      <c r="A27" s="27" t="s">
        <v>149</v>
      </c>
      <c r="B27" s="5">
        <v>-40554</v>
      </c>
      <c r="C27" s="5">
        <v>-43647</v>
      </c>
      <c r="D27" s="5">
        <v>-44414</v>
      </c>
      <c r="E27" s="5">
        <v>-37940</v>
      </c>
      <c r="F27" s="5">
        <v>-24319</v>
      </c>
    </row>
    <row r="28" spans="1:6" ht="15.75" thickBot="1" x14ac:dyDescent="0.3">
      <c r="A28" s="27" t="s">
        <v>150</v>
      </c>
      <c r="B28" s="5">
        <v>35299</v>
      </c>
      <c r="C28" s="5">
        <v>48730</v>
      </c>
      <c r="D28" s="5">
        <v>44077</v>
      </c>
      <c r="E28" s="5">
        <v>41463</v>
      </c>
      <c r="F28" s="5">
        <v>15387</v>
      </c>
    </row>
    <row r="29" spans="1:6" ht="15.75" thickBot="1" x14ac:dyDescent="0.3">
      <c r="A29" s="27" t="s">
        <v>172</v>
      </c>
      <c r="B29" s="5">
        <v>-613</v>
      </c>
      <c r="C29" s="5">
        <v>-510</v>
      </c>
      <c r="D29" s="5">
        <v>0</v>
      </c>
      <c r="E29" s="5">
        <v>0</v>
      </c>
      <c r="F29" s="5">
        <v>0</v>
      </c>
    </row>
    <row r="30" spans="1:6" ht="15.75" thickBot="1" x14ac:dyDescent="0.3">
      <c r="A30" s="27" t="s">
        <v>151</v>
      </c>
      <c r="B30" s="5">
        <v>581</v>
      </c>
      <c r="C30" s="5">
        <v>4961</v>
      </c>
      <c r="D30" s="5">
        <v>472</v>
      </c>
      <c r="E30" s="5">
        <v>1047</v>
      </c>
      <c r="F30" s="5">
        <v>671</v>
      </c>
    </row>
    <row r="31" spans="1:6" ht="15.75" thickBot="1" x14ac:dyDescent="0.3">
      <c r="A31" s="27" t="s">
        <v>152</v>
      </c>
      <c r="B31" s="5">
        <v>0</v>
      </c>
      <c r="C31" s="5">
        <v>6579</v>
      </c>
      <c r="D31" s="5">
        <v>0</v>
      </c>
      <c r="E31" s="5">
        <v>0</v>
      </c>
      <c r="F31" s="5">
        <v>6157</v>
      </c>
    </row>
    <row r="32" spans="1:6" ht="15.75" thickBot="1" x14ac:dyDescent="0.3">
      <c r="A32" s="27" t="s">
        <v>153</v>
      </c>
      <c r="B32" s="5">
        <v>1167</v>
      </c>
      <c r="C32" s="5">
        <v>-1540</v>
      </c>
      <c r="D32" s="5">
        <v>563</v>
      </c>
      <c r="E32" s="5">
        <v>-818</v>
      </c>
      <c r="F32" s="5">
        <v>352</v>
      </c>
    </row>
    <row r="33" spans="1:6" ht="15.75" thickBot="1" x14ac:dyDescent="0.3">
      <c r="A33" s="26" t="s">
        <v>154</v>
      </c>
      <c r="B33" s="5">
        <v>-24283</v>
      </c>
      <c r="C33" s="5">
        <v>-10231</v>
      </c>
      <c r="D33" s="5">
        <v>-24041</v>
      </c>
      <c r="E33" s="5">
        <v>-18256</v>
      </c>
      <c r="F33" s="5">
        <v>-14821</v>
      </c>
    </row>
    <row r="34" spans="1:6" ht="15.75" thickBot="1" x14ac:dyDescent="0.3">
      <c r="A34" s="26" t="s">
        <v>155</v>
      </c>
      <c r="B34" s="5"/>
      <c r="C34" s="5"/>
      <c r="D34" s="5"/>
      <c r="E34" s="5"/>
      <c r="F34" s="5"/>
    </row>
    <row r="35" spans="1:6" ht="15.75" thickBot="1" x14ac:dyDescent="0.3">
      <c r="A35" s="27" t="s">
        <v>156</v>
      </c>
      <c r="B35" s="5">
        <v>0</v>
      </c>
      <c r="C35" s="5">
        <v>3945</v>
      </c>
      <c r="D35" s="5">
        <v>0</v>
      </c>
      <c r="E35" s="5">
        <v>7349</v>
      </c>
      <c r="F35" s="5">
        <v>3493</v>
      </c>
    </row>
    <row r="36" spans="1:6" ht="15.75" thickBot="1" x14ac:dyDescent="0.3">
      <c r="A36" s="27" t="s">
        <v>157</v>
      </c>
      <c r="B36" s="5">
        <v>0</v>
      </c>
      <c r="C36" s="5">
        <v>0</v>
      </c>
      <c r="D36" s="5">
        <v>-3944</v>
      </c>
      <c r="E36" s="5">
        <v>-7349</v>
      </c>
      <c r="F36" s="5">
        <v>-3493</v>
      </c>
    </row>
    <row r="37" spans="1:6" ht="15.75" thickBot="1" x14ac:dyDescent="0.3">
      <c r="A37" s="27" t="s">
        <v>173</v>
      </c>
      <c r="B37" s="5">
        <v>0</v>
      </c>
      <c r="C37" s="5">
        <v>-345</v>
      </c>
      <c r="D37" s="5">
        <v>0</v>
      </c>
      <c r="E37" s="5">
        <v>0</v>
      </c>
      <c r="F37" s="5">
        <v>0</v>
      </c>
    </row>
    <row r="38" spans="1:6" ht="15.75" thickBot="1" x14ac:dyDescent="0.3">
      <c r="A38" s="27" t="s">
        <v>158</v>
      </c>
      <c r="B38" s="5">
        <v>0</v>
      </c>
      <c r="C38" s="5">
        <v>874</v>
      </c>
      <c r="D38" s="5">
        <v>1511</v>
      </c>
      <c r="E38" s="5">
        <v>12714</v>
      </c>
      <c r="F38" s="5">
        <v>5108</v>
      </c>
    </row>
    <row r="39" spans="1:6" ht="15.75" thickBot="1" x14ac:dyDescent="0.3">
      <c r="A39" s="27" t="s">
        <v>159</v>
      </c>
      <c r="B39" s="5">
        <v>0</v>
      </c>
      <c r="C39" s="5">
        <v>1032</v>
      </c>
      <c r="D39" s="5">
        <v>2959</v>
      </c>
      <c r="E39" s="5">
        <v>0</v>
      </c>
      <c r="F39" s="5">
        <v>921</v>
      </c>
    </row>
    <row r="40" spans="1:6" ht="15.75" thickBot="1" x14ac:dyDescent="0.3">
      <c r="A40" s="27" t="s">
        <v>147</v>
      </c>
      <c r="B40" s="5">
        <v>0</v>
      </c>
      <c r="C40" s="5">
        <v>0</v>
      </c>
      <c r="D40" s="5">
        <v>0</v>
      </c>
      <c r="E40" s="5">
        <v>-1178</v>
      </c>
      <c r="F40" s="5">
        <v>-3026</v>
      </c>
    </row>
    <row r="41" spans="1:6" ht="15.75" thickBot="1" x14ac:dyDescent="0.3">
      <c r="A41" s="27" t="s">
        <v>160</v>
      </c>
      <c r="B41" s="5">
        <v>4974</v>
      </c>
      <c r="C41" s="5">
        <v>6548</v>
      </c>
      <c r="D41" s="5">
        <v>11391</v>
      </c>
      <c r="E41" s="5">
        <v>2975</v>
      </c>
      <c r="F41" s="5">
        <v>0</v>
      </c>
    </row>
    <row r="42" spans="1:6" ht="15.75" thickBot="1" x14ac:dyDescent="0.3">
      <c r="A42" s="27" t="s">
        <v>161</v>
      </c>
      <c r="B42" s="5">
        <v>-2500</v>
      </c>
      <c r="C42" s="5">
        <v>-4984</v>
      </c>
      <c r="D42" s="5">
        <v>-423</v>
      </c>
      <c r="E42" s="5">
        <v>-2288</v>
      </c>
      <c r="F42" s="5">
        <v>-3750</v>
      </c>
    </row>
    <row r="43" spans="1:6" ht="29.25" thickBot="1" x14ac:dyDescent="0.3">
      <c r="A43" s="27" t="s">
        <v>162</v>
      </c>
      <c r="B43" s="5">
        <v>1020</v>
      </c>
      <c r="C43" s="5">
        <v>977</v>
      </c>
      <c r="D43" s="5">
        <v>1042</v>
      </c>
      <c r="E43" s="5">
        <v>987</v>
      </c>
      <c r="F43" s="5">
        <v>771</v>
      </c>
    </row>
    <row r="44" spans="1:6" ht="29.25" thickBot="1" x14ac:dyDescent="0.3">
      <c r="A44" s="27" t="s">
        <v>163</v>
      </c>
      <c r="B44" s="5">
        <v>0</v>
      </c>
      <c r="C44" s="5">
        <v>0</v>
      </c>
      <c r="D44" s="5">
        <v>0</v>
      </c>
      <c r="E44" s="5">
        <v>0</v>
      </c>
      <c r="F44" s="5">
        <v>12706</v>
      </c>
    </row>
    <row r="45" spans="1:6" ht="15.75" thickBot="1" x14ac:dyDescent="0.3">
      <c r="A45" s="27" t="s">
        <v>174</v>
      </c>
      <c r="B45" s="5">
        <v>-2415</v>
      </c>
      <c r="C45" s="5">
        <v>0</v>
      </c>
      <c r="D45" s="5">
        <v>0</v>
      </c>
      <c r="E45" s="5">
        <v>0</v>
      </c>
      <c r="F45" s="5">
        <v>0</v>
      </c>
    </row>
    <row r="46" spans="1:6" ht="15.75" thickBot="1" x14ac:dyDescent="0.3">
      <c r="A46" s="27" t="s">
        <v>164</v>
      </c>
      <c r="B46" s="5">
        <v>0</v>
      </c>
      <c r="C46" s="5">
        <v>0</v>
      </c>
      <c r="D46" s="5">
        <v>-534</v>
      </c>
      <c r="E46" s="5">
        <v>-631</v>
      </c>
      <c r="F46" s="5">
        <v>-423</v>
      </c>
    </row>
    <row r="47" spans="1:6" ht="15.75" thickBot="1" x14ac:dyDescent="0.3">
      <c r="A47" s="27" t="s">
        <v>165</v>
      </c>
      <c r="B47" s="5">
        <v>-5644</v>
      </c>
      <c r="C47" s="5">
        <v>-5997</v>
      </c>
      <c r="D47" s="5">
        <v>-3088</v>
      </c>
      <c r="E47" s="5">
        <v>-1599</v>
      </c>
      <c r="F47" s="5">
        <v>0</v>
      </c>
    </row>
    <row r="48" spans="1:6" ht="15.75" thickBot="1" x14ac:dyDescent="0.3">
      <c r="A48" s="27" t="s">
        <v>166</v>
      </c>
      <c r="B48" s="5">
        <v>-1646</v>
      </c>
      <c r="C48" s="5">
        <v>-935</v>
      </c>
      <c r="D48" s="5">
        <v>-409</v>
      </c>
      <c r="E48" s="5">
        <v>158</v>
      </c>
      <c r="F48" s="5">
        <v>-720</v>
      </c>
    </row>
    <row r="49" spans="1:6" ht="15.75" thickBot="1" x14ac:dyDescent="0.3">
      <c r="A49" s="26" t="s">
        <v>167</v>
      </c>
      <c r="B49" s="5">
        <v>-6211</v>
      </c>
      <c r="C49" s="5">
        <v>1115</v>
      </c>
      <c r="D49" s="5">
        <v>8505</v>
      </c>
      <c r="E49" s="5">
        <v>11138</v>
      </c>
      <c r="F49" s="5">
        <v>11587</v>
      </c>
    </row>
    <row r="50" spans="1:6" ht="15.75" thickBot="1" x14ac:dyDescent="0.3">
      <c r="A50" s="26" t="s">
        <v>168</v>
      </c>
      <c r="B50" s="5">
        <v>-1038</v>
      </c>
      <c r="C50" s="5">
        <v>6317</v>
      </c>
      <c r="D50" s="5">
        <v>-4065</v>
      </c>
      <c r="E50" s="5">
        <v>1170</v>
      </c>
      <c r="F50" s="5">
        <v>6463</v>
      </c>
    </row>
    <row r="51" spans="1:6" ht="15.75" thickBot="1" x14ac:dyDescent="0.3">
      <c r="A51" s="26" t="s">
        <v>169</v>
      </c>
      <c r="B51" s="5">
        <v>4827</v>
      </c>
      <c r="C51" s="5">
        <v>11144</v>
      </c>
      <c r="D51" s="5">
        <v>7079</v>
      </c>
      <c r="E51" s="5">
        <v>8249</v>
      </c>
      <c r="F51" s="5">
        <v>14712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9EA3-06A3-4CFD-B10F-D86141247E5E}">
  <sheetPr>
    <tabColor rgb="FF002060"/>
  </sheetPr>
  <dimension ref="A1:T93"/>
  <sheetViews>
    <sheetView tabSelected="1" zoomScale="90" zoomScaleNormal="90" workbookViewId="0">
      <pane ySplit="5" topLeftCell="A6" activePane="bottomLeft" state="frozen"/>
      <selection pane="bottomLeft" activeCell="A12" sqref="A12"/>
    </sheetView>
  </sheetViews>
  <sheetFormatPr defaultColWidth="9.140625" defaultRowHeight="16.5" outlineLevelRow="1" x14ac:dyDescent="0.3"/>
  <cols>
    <col min="1" max="1" width="59.42578125" style="14" customWidth="1"/>
    <col min="2" max="16384" width="9.140625" style="14"/>
  </cols>
  <sheetData>
    <row r="1" spans="1:12" x14ac:dyDescent="0.3">
      <c r="C1" s="28" t="s">
        <v>98</v>
      </c>
      <c r="D1" s="28"/>
      <c r="E1" s="28"/>
      <c r="F1" s="28"/>
      <c r="G1" s="28"/>
      <c r="H1" s="29" t="s">
        <v>99</v>
      </c>
      <c r="I1" s="29"/>
      <c r="J1" s="29"/>
      <c r="K1" s="29"/>
      <c r="L1" s="29"/>
    </row>
    <row r="2" spans="1:12" x14ac:dyDescent="0.3">
      <c r="C2" s="11">
        <v>2021</v>
      </c>
      <c r="D2" s="11">
        <v>2022</v>
      </c>
      <c r="E2" s="11">
        <v>2023</v>
      </c>
      <c r="F2" s="11">
        <v>2024</v>
      </c>
      <c r="G2" s="11">
        <v>2025</v>
      </c>
      <c r="H2" s="12">
        <v>2026</v>
      </c>
      <c r="I2" s="12">
        <v>2027</v>
      </c>
      <c r="J2" s="12">
        <v>2028</v>
      </c>
      <c r="K2" s="12">
        <v>2029</v>
      </c>
      <c r="L2" s="12">
        <v>2030</v>
      </c>
    </row>
    <row r="3" spans="1:12" x14ac:dyDescent="0.3">
      <c r="A3" s="10" t="s">
        <v>97</v>
      </c>
      <c r="C3" s="16" t="str">
        <f>IFERROR(IF(ABS(C69)&gt;1,"ERROR","OK"),"OK")</f>
        <v>OK</v>
      </c>
      <c r="D3" s="16" t="str">
        <f t="shared" ref="D3:L3" si="0">IFERROR(IF(ABS(D69)&gt;1,"ERROR","OK"),"OK")</f>
        <v>OK</v>
      </c>
      <c r="E3" s="16" t="str">
        <f t="shared" si="0"/>
        <v>OK</v>
      </c>
      <c r="F3" s="16" t="str">
        <f t="shared" si="0"/>
        <v>OK</v>
      </c>
      <c r="G3" s="16" t="str">
        <f t="shared" si="0"/>
        <v>OK</v>
      </c>
      <c r="H3" s="16" t="str">
        <f t="shared" si="0"/>
        <v>OK</v>
      </c>
      <c r="I3" s="16" t="str">
        <f t="shared" si="0"/>
        <v>OK</v>
      </c>
      <c r="J3" s="16" t="str">
        <f t="shared" si="0"/>
        <v>OK</v>
      </c>
      <c r="K3" s="16" t="str">
        <f t="shared" si="0"/>
        <v>OK</v>
      </c>
      <c r="L3" s="16" t="str">
        <f t="shared" si="0"/>
        <v>OK</v>
      </c>
    </row>
    <row r="4" spans="1:12" x14ac:dyDescent="0.3">
      <c r="A4" s="10"/>
      <c r="C4" s="10" t="s">
        <v>126</v>
      </c>
    </row>
    <row r="5" spans="1:12" x14ac:dyDescent="0.3">
      <c r="A5" s="10"/>
      <c r="C5" s="10" t="s">
        <v>127</v>
      </c>
    </row>
    <row r="6" spans="1:12" x14ac:dyDescent="0.3">
      <c r="A6" s="10"/>
    </row>
    <row r="7" spans="1:12" ht="17.25" x14ac:dyDescent="0.3">
      <c r="A7" s="13" t="s">
        <v>100</v>
      </c>
      <c r="B7" s="13"/>
      <c r="C7" s="11">
        <v>2021</v>
      </c>
      <c r="D7" s="11">
        <v>2022</v>
      </c>
      <c r="E7" s="11">
        <v>2023</v>
      </c>
      <c r="F7" s="11">
        <v>2024</v>
      </c>
      <c r="G7" s="11">
        <v>2025</v>
      </c>
      <c r="H7" s="12">
        <v>2026</v>
      </c>
      <c r="I7" s="12">
        <v>2027</v>
      </c>
      <c r="J7" s="12">
        <v>2028</v>
      </c>
      <c r="K7" s="12">
        <v>2029</v>
      </c>
      <c r="L7" s="12">
        <v>2030</v>
      </c>
    </row>
    <row r="8" spans="1:12" x14ac:dyDescent="0.3">
      <c r="A8" s="10"/>
    </row>
    <row r="9" spans="1:12" outlineLevel="1" x14ac:dyDescent="0.3">
      <c r="A9" s="17" t="s">
        <v>116</v>
      </c>
    </row>
    <row r="10" spans="1:12" outlineLevel="1" x14ac:dyDescent="0.3">
      <c r="A10" s="1" t="s">
        <v>106</v>
      </c>
      <c r="C10" s="20"/>
      <c r="D10" s="20">
        <f>D29/C29-1</f>
        <v>-0.20209050415063778</v>
      </c>
      <c r="E10" s="20">
        <f t="shared" ref="E10:G10" si="1">E29/D29-1</f>
        <v>-0.13997525930155108</v>
      </c>
      <c r="F10" s="20">
        <f t="shared" si="1"/>
        <v>-2.0782621523935951E-2</v>
      </c>
      <c r="G10" s="20">
        <f t="shared" si="1"/>
        <v>-4.6703451912393223E-3</v>
      </c>
      <c r="H10" s="20">
        <f>INDEX('Scenario Assumptions'!C2:E2,MATCH($C$5, 'Scenario Assumptions'!C$1:E$1, 0))</f>
        <v>0.03</v>
      </c>
      <c r="I10" s="20">
        <f>H10</f>
        <v>0.03</v>
      </c>
      <c r="J10" s="20">
        <f t="shared" ref="J10:L10" si="2">I10</f>
        <v>0.03</v>
      </c>
      <c r="K10" s="20">
        <f t="shared" si="2"/>
        <v>0.03</v>
      </c>
      <c r="L10" s="20">
        <f t="shared" si="2"/>
        <v>0.03</v>
      </c>
    </row>
    <row r="11" spans="1:12" outlineLevel="1" x14ac:dyDescent="0.3">
      <c r="A11" s="1" t="s">
        <v>107</v>
      </c>
      <c r="C11" s="20">
        <f>C31/C29</f>
        <v>0.5544518121077141</v>
      </c>
      <c r="D11" s="20">
        <f t="shared" ref="D11:F11" si="3">D31/D29</f>
        <v>0.42607923367272499</v>
      </c>
      <c r="E11" s="20">
        <f t="shared" si="3"/>
        <v>0.40036512502766097</v>
      </c>
      <c r="F11" s="20">
        <f t="shared" si="3"/>
        <v>0.32664168283083184</v>
      </c>
      <c r="G11" s="20">
        <f>G31/G29</f>
        <v>0.34766238434904356</v>
      </c>
      <c r="H11" s="20">
        <v>0.35</v>
      </c>
      <c r="I11" s="20">
        <v>0.36</v>
      </c>
      <c r="J11" s="20">
        <v>0.39</v>
      </c>
      <c r="K11" s="20">
        <v>0.4</v>
      </c>
      <c r="L11" s="20">
        <v>0.42</v>
      </c>
    </row>
    <row r="12" spans="1:12" outlineLevel="1" x14ac:dyDescent="0.3">
      <c r="A12" s="1" t="s">
        <v>108</v>
      </c>
      <c r="C12" s="20">
        <f>C33/C29</f>
        <v>8.2797631099412836E-2</v>
      </c>
      <c r="D12" s="20">
        <f t="shared" ref="D12:G12" si="4">D33/D29</f>
        <v>0.11104767342278048</v>
      </c>
      <c r="E12" s="20">
        <f t="shared" si="4"/>
        <v>0.10389466696171719</v>
      </c>
      <c r="F12" s="20">
        <f t="shared" si="4"/>
        <v>0.10370802809739929</v>
      </c>
      <c r="G12" s="20">
        <f t="shared" si="4"/>
        <v>8.7487938243808294E-2</v>
      </c>
      <c r="H12" s="20">
        <v>0.09</v>
      </c>
      <c r="I12" s="20">
        <v>0.09</v>
      </c>
      <c r="J12" s="20">
        <v>0.09</v>
      </c>
      <c r="K12" s="20">
        <v>0.09</v>
      </c>
      <c r="L12" s="20">
        <v>0.09</v>
      </c>
    </row>
    <row r="13" spans="1:12" outlineLevel="1" x14ac:dyDescent="0.3">
      <c r="A13" s="1" t="s">
        <v>109</v>
      </c>
      <c r="C13" s="20">
        <f>C32/C29</f>
        <v>0.19222008503745697</v>
      </c>
      <c r="D13" s="20">
        <f t="shared" ref="D13:G13" si="5">D32/D29</f>
        <v>0.27798395026485234</v>
      </c>
      <c r="E13" s="20">
        <f t="shared" si="5"/>
        <v>0.29589879766910082</v>
      </c>
      <c r="F13" s="20">
        <f t="shared" si="5"/>
        <v>0.31159488521873413</v>
      </c>
      <c r="G13" s="20">
        <f t="shared" si="5"/>
        <v>0.26060961534823002</v>
      </c>
      <c r="H13" s="20">
        <v>0.27</v>
      </c>
      <c r="I13" s="20">
        <v>0.27</v>
      </c>
      <c r="J13" s="20">
        <v>0.27</v>
      </c>
      <c r="K13" s="20">
        <v>0.27</v>
      </c>
      <c r="L13" s="20">
        <v>0.27</v>
      </c>
    </row>
    <row r="14" spans="1:12" outlineLevel="1" x14ac:dyDescent="0.3">
      <c r="A14" s="1" t="s">
        <v>176</v>
      </c>
      <c r="C14" s="20">
        <f>C34/C29</f>
        <v>3.3230411014375377E-2</v>
      </c>
      <c r="D14" s="20">
        <f t="shared" ref="D14:G14" si="6">D34/D29</f>
        <v>3.1718844165318618E-5</v>
      </c>
      <c r="E14" s="20">
        <f t="shared" si="6"/>
        <v>-1.1433207936859186E-3</v>
      </c>
      <c r="F14" s="20">
        <f t="shared" si="6"/>
        <v>0.13125929831829908</v>
      </c>
      <c r="G14" s="20">
        <f t="shared" si="6"/>
        <v>4.1454600495714526E-2</v>
      </c>
      <c r="H14" s="20">
        <v>0.02</v>
      </c>
      <c r="I14" s="20">
        <v>0.02</v>
      </c>
      <c r="J14" s="20">
        <v>0.02</v>
      </c>
      <c r="K14" s="20">
        <v>0.02</v>
      </c>
      <c r="L14" s="20">
        <v>0.02</v>
      </c>
    </row>
    <row r="15" spans="1:12" outlineLevel="1" x14ac:dyDescent="0.3">
      <c r="A15" s="1" t="s">
        <v>110</v>
      </c>
      <c r="C15" s="21">
        <f>C49/C29*C24</f>
        <v>43.680464162785988</v>
      </c>
      <c r="D15" s="21">
        <f>D49/D29*D24</f>
        <v>23.924651885685286</v>
      </c>
      <c r="E15" s="21">
        <f>E49/E29*E24</f>
        <v>22.898318211993807</v>
      </c>
      <c r="F15" s="21">
        <f>F49/F29*F24</f>
        <v>23.906706088397584</v>
      </c>
      <c r="G15" s="21">
        <f>G49/G29*G24</f>
        <v>26.511929313378616</v>
      </c>
      <c r="H15" s="21">
        <v>27</v>
      </c>
      <c r="I15" s="21">
        <v>26</v>
      </c>
      <c r="J15" s="21">
        <v>26</v>
      </c>
      <c r="K15" s="21">
        <v>25</v>
      </c>
      <c r="L15" s="21">
        <v>25</v>
      </c>
    </row>
    <row r="16" spans="1:12" outlineLevel="1" x14ac:dyDescent="0.3">
      <c r="A16" s="1" t="s">
        <v>111</v>
      </c>
      <c r="C16" s="21">
        <f>C50/C30*C24</f>
        <v>111.71121020193701</v>
      </c>
      <c r="D16" s="21">
        <f>D50/D30*D24</f>
        <v>133.38012600862163</v>
      </c>
      <c r="E16" s="21">
        <f>E50/E30*E24</f>
        <v>124.89943721745549</v>
      </c>
      <c r="F16" s="21">
        <f>F50/F30*F24</f>
        <v>124.51812283253162</v>
      </c>
      <c r="G16" s="21">
        <f>G50/G30*G24</f>
        <v>122.99350310342828</v>
      </c>
      <c r="H16" s="21">
        <v>120</v>
      </c>
      <c r="I16" s="21">
        <v>118</v>
      </c>
      <c r="J16" s="21">
        <v>116</v>
      </c>
      <c r="K16" s="21">
        <v>115</v>
      </c>
      <c r="L16" s="21">
        <v>115</v>
      </c>
    </row>
    <row r="17" spans="1:12" outlineLevel="1" x14ac:dyDescent="0.3">
      <c r="A17" s="1" t="s">
        <v>112</v>
      </c>
      <c r="C17" s="21">
        <f>C57/C30*C24</f>
        <v>59.577238774177054</v>
      </c>
      <c r="D17" s="21">
        <f>D57/D30*D24</f>
        <v>96.777246601083235</v>
      </c>
      <c r="E17" s="21">
        <f>E57/E30*E24</f>
        <v>96.287172863425297</v>
      </c>
      <c r="F17" s="21">
        <f>F57/F30*F24</f>
        <v>128.17261438639667</v>
      </c>
      <c r="G17" s="21">
        <f>G57/G30*G24</f>
        <v>104.6154069261558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</row>
    <row r="18" spans="1:12" outlineLevel="1" x14ac:dyDescent="0.3">
      <c r="A18" s="1" t="s">
        <v>113</v>
      </c>
      <c r="C18" s="20">
        <f>-C82/C29</f>
        <v>0.25725096173314438</v>
      </c>
      <c r="D18" s="20">
        <f>-D82/D29</f>
        <v>0.39727852317061568</v>
      </c>
      <c r="E18" s="20">
        <f>-E82/E29</f>
        <v>0.4748469425389098</v>
      </c>
      <c r="F18" s="20">
        <f>-F82/F29</f>
        <v>0.45091429539933336</v>
      </c>
      <c r="G18" s="20">
        <f>-G82/G29</f>
        <v>0.27710820577829071</v>
      </c>
      <c r="H18" s="20">
        <v>0.3</v>
      </c>
      <c r="I18" s="20">
        <v>0.3</v>
      </c>
      <c r="J18" s="20">
        <v>0.3</v>
      </c>
      <c r="K18" s="20">
        <v>0.3</v>
      </c>
      <c r="L18" s="20">
        <v>0.3</v>
      </c>
    </row>
    <row r="19" spans="1:12" outlineLevel="1" x14ac:dyDescent="0.3">
      <c r="A19" s="1" t="s">
        <v>114</v>
      </c>
      <c r="C19" s="20">
        <f>C42/C52</f>
        <v>0.18644952170132026</v>
      </c>
      <c r="D19" s="20">
        <f>D42/D52</f>
        <v>0.16120455107593371</v>
      </c>
      <c r="E19" s="20">
        <f>E42/E52</f>
        <v>9.9351247322731179E-2</v>
      </c>
      <c r="F19" s="20">
        <f>F42/F52</f>
        <v>0.10544019125455202</v>
      </c>
      <c r="G19" s="20">
        <f>G42/G52</f>
        <v>0.11104786840457624</v>
      </c>
      <c r="H19" s="20">
        <v>0.11</v>
      </c>
      <c r="I19" s="20">
        <v>0.11</v>
      </c>
      <c r="J19" s="20">
        <v>0.11</v>
      </c>
      <c r="K19" s="20">
        <v>0.11</v>
      </c>
      <c r="L19" s="20">
        <v>0.11</v>
      </c>
    </row>
    <row r="20" spans="1:12" outlineLevel="1" x14ac:dyDescent="0.3">
      <c r="A20" s="1" t="s">
        <v>118</v>
      </c>
      <c r="C20" s="20">
        <f>C39/C38</f>
        <v>8.4550522969174771E-2</v>
      </c>
      <c r="D20" s="20">
        <f t="shared" ref="D20:G20" si="7">D39/D38</f>
        <v>-3.2054582904222452E-2</v>
      </c>
      <c r="E20" s="20">
        <f t="shared" si="7"/>
        <v>-1.1981627296587927</v>
      </c>
      <c r="F20" s="20">
        <f t="shared" si="7"/>
        <v>-0.71570026761819805</v>
      </c>
      <c r="G20" s="20">
        <f t="shared" si="7"/>
        <v>0.98330122029543998</v>
      </c>
      <c r="H20" s="20">
        <v>0.2</v>
      </c>
      <c r="I20" s="20">
        <v>0.2</v>
      </c>
      <c r="J20" s="20">
        <v>0.2</v>
      </c>
      <c r="K20" s="20">
        <v>0.2</v>
      </c>
      <c r="L20" s="20">
        <v>0.2</v>
      </c>
    </row>
    <row r="21" spans="1:12" outlineLevel="1" x14ac:dyDescent="0.3">
      <c r="A21" s="1" t="s">
        <v>125</v>
      </c>
      <c r="C21" s="20">
        <f>-C87/C40</f>
        <v>0.2840748943023958</v>
      </c>
      <c r="D21" s="20">
        <f>-D87/D40</f>
        <v>0.74803542472246476</v>
      </c>
      <c r="E21" s="20">
        <f>-E87/E40</f>
        <v>1.8435820895522388</v>
      </c>
      <c r="F21" s="20">
        <f>-F87/F40</f>
        <v>-8.3138355950709716E-2</v>
      </c>
      <c r="G21" s="20">
        <f>-G87/G40</f>
        <v>0</v>
      </c>
      <c r="H21" s="20">
        <v>0.25</v>
      </c>
      <c r="I21" s="20">
        <v>0.25</v>
      </c>
      <c r="J21" s="20">
        <v>0.25</v>
      </c>
      <c r="K21" s="20">
        <v>0.25</v>
      </c>
      <c r="L21" s="20">
        <v>0.25</v>
      </c>
    </row>
    <row r="22" spans="1:12" outlineLevel="1" x14ac:dyDescent="0.3">
      <c r="A22" s="1" t="s">
        <v>115</v>
      </c>
      <c r="C22" s="15">
        <f>C86</f>
        <v>2474</v>
      </c>
      <c r="D22" s="15">
        <f t="shared" ref="D22:G22" si="8">D86</f>
        <v>5509</v>
      </c>
      <c r="E22" s="15">
        <f t="shared" si="8"/>
        <v>7024</v>
      </c>
      <c r="F22" s="15">
        <f t="shared" si="8"/>
        <v>687</v>
      </c>
      <c r="G22" s="15">
        <f t="shared" si="8"/>
        <v>-3750</v>
      </c>
      <c r="H22" s="15">
        <v>-1000</v>
      </c>
      <c r="I22" s="15">
        <v>-1000</v>
      </c>
      <c r="J22" s="15">
        <v>-1000</v>
      </c>
      <c r="K22" s="15">
        <v>-1000</v>
      </c>
      <c r="L22" s="15">
        <v>-1000</v>
      </c>
    </row>
    <row r="23" spans="1:12" outlineLevel="1" x14ac:dyDescent="0.3">
      <c r="A23" s="1" t="s">
        <v>119</v>
      </c>
      <c r="C23" s="20">
        <f>C37/C29</f>
        <v>2.8434399676047783E-2</v>
      </c>
      <c r="D23" s="20">
        <f>D37/D29</f>
        <v>8.6180099597170684E-2</v>
      </c>
      <c r="E23" s="20">
        <f>E37/E29</f>
        <v>1.2336800177030316E-2</v>
      </c>
      <c r="F23" s="20">
        <f>F37/F29</f>
        <v>8.8133933447581032E-3</v>
      </c>
      <c r="G23" s="20">
        <f>G37/G29</f>
        <v>7.1348835449264944E-2</v>
      </c>
      <c r="H23" s="20">
        <v>0.05</v>
      </c>
      <c r="I23" s="20">
        <v>0.05</v>
      </c>
      <c r="J23" s="20">
        <v>0.05</v>
      </c>
      <c r="K23" s="20">
        <v>0.05</v>
      </c>
      <c r="L23" s="20">
        <v>0.05</v>
      </c>
    </row>
    <row r="24" spans="1:12" outlineLevel="1" x14ac:dyDescent="0.3">
      <c r="A24" s="1" t="s">
        <v>117</v>
      </c>
      <c r="B24" s="1"/>
      <c r="C24" s="1">
        <v>365</v>
      </c>
      <c r="D24" s="1">
        <v>365</v>
      </c>
      <c r="E24" s="1">
        <v>365</v>
      </c>
      <c r="F24" s="1">
        <v>365</v>
      </c>
      <c r="G24" s="1">
        <v>365</v>
      </c>
      <c r="H24" s="1">
        <v>365</v>
      </c>
      <c r="I24" s="1">
        <v>365</v>
      </c>
      <c r="J24" s="1">
        <v>365</v>
      </c>
      <c r="K24" s="1">
        <v>365</v>
      </c>
      <c r="L24" s="1">
        <v>365</v>
      </c>
    </row>
    <row r="25" spans="1:12" outlineLevel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7" spans="1:12" ht="17.25" x14ac:dyDescent="0.3">
      <c r="A27" s="13" t="s">
        <v>58</v>
      </c>
      <c r="B27" s="13"/>
      <c r="C27" s="11">
        <v>2021</v>
      </c>
      <c r="D27" s="11">
        <v>2022</v>
      </c>
      <c r="E27" s="11">
        <v>2023</v>
      </c>
      <c r="F27" s="11">
        <v>2024</v>
      </c>
      <c r="G27" s="11">
        <v>2025</v>
      </c>
      <c r="H27" s="12">
        <v>2026</v>
      </c>
      <c r="I27" s="12">
        <v>2027</v>
      </c>
      <c r="J27" s="12">
        <v>2028</v>
      </c>
      <c r="K27" s="12">
        <v>2029</v>
      </c>
      <c r="L27" s="12">
        <v>2030</v>
      </c>
    </row>
    <row r="29" spans="1:12" outlineLevel="1" x14ac:dyDescent="0.3">
      <c r="A29" s="17" t="s">
        <v>102</v>
      </c>
      <c r="C29" s="19">
        <f>'Historical P&amp;L'!B2</f>
        <v>79024</v>
      </c>
      <c r="D29" s="19">
        <f>'Historical P&amp;L'!C2</f>
        <v>63054</v>
      </c>
      <c r="E29" s="19">
        <f>'Historical P&amp;L'!D2</f>
        <v>54228</v>
      </c>
      <c r="F29" s="19">
        <f>'Historical P&amp;L'!E2</f>
        <v>53101</v>
      </c>
      <c r="G29" s="19">
        <f>'Historical P&amp;L'!F2</f>
        <v>52853</v>
      </c>
      <c r="H29" s="19">
        <f>G29*(1+H10)</f>
        <v>54438.590000000004</v>
      </c>
      <c r="I29" s="19">
        <f>H29*(1+I10)</f>
        <v>56071.747700000007</v>
      </c>
      <c r="J29" s="19">
        <f>I29*(1+J10)</f>
        <v>57753.900131000009</v>
      </c>
      <c r="K29" s="19">
        <f>J29*(1+K10)</f>
        <v>59486.517134930014</v>
      </c>
      <c r="L29" s="19">
        <f>K29*(1+L10)</f>
        <v>61271.11264897792</v>
      </c>
    </row>
    <row r="30" spans="1:12" outlineLevel="1" x14ac:dyDescent="0.3">
      <c r="A30" s="1" t="s">
        <v>103</v>
      </c>
      <c r="C30" s="9">
        <f>'Historical P&amp;L'!B3</f>
        <v>35209</v>
      </c>
      <c r="D30" s="9">
        <f>'Historical P&amp;L'!C3</f>
        <v>36188</v>
      </c>
      <c r="E30" s="9">
        <f>'Historical P&amp;L'!D3</f>
        <v>32517</v>
      </c>
      <c r="F30" s="9">
        <f>'Historical P&amp;L'!E3</f>
        <v>35756</v>
      </c>
      <c r="G30" s="9">
        <f>'Historical P&amp;L'!F3</f>
        <v>34478</v>
      </c>
      <c r="H30" s="9">
        <f>H29*(1-H11)</f>
        <v>35385.083500000001</v>
      </c>
      <c r="I30" s="9">
        <f>I29*(1-I11)</f>
        <v>35885.918528000002</v>
      </c>
      <c r="J30" s="9">
        <f>J29*(1-J11)</f>
        <v>35229.879079910002</v>
      </c>
      <c r="K30" s="9">
        <f>K29*(1-K11)</f>
        <v>35691.910280958007</v>
      </c>
      <c r="L30" s="9">
        <f>L29*(1-L11)</f>
        <v>35537.245336407199</v>
      </c>
    </row>
    <row r="31" spans="1:12" outlineLevel="1" x14ac:dyDescent="0.3">
      <c r="A31" s="18" t="s">
        <v>4</v>
      </c>
      <c r="C31" s="19">
        <f>C29-C30</f>
        <v>43815</v>
      </c>
      <c r="D31" s="19">
        <f t="shared" ref="D31:G31" si="9">D29-D30</f>
        <v>26866</v>
      </c>
      <c r="E31" s="19">
        <f t="shared" si="9"/>
        <v>21711</v>
      </c>
      <c r="F31" s="19">
        <f t="shared" si="9"/>
        <v>17345</v>
      </c>
      <c r="G31" s="19">
        <f t="shared" si="9"/>
        <v>18375</v>
      </c>
      <c r="H31" s="19">
        <f>H29-H30</f>
        <v>19053.506500000003</v>
      </c>
      <c r="I31" s="19">
        <f t="shared" ref="I31:L31" si="10">I29-I30</f>
        <v>20185.829172000005</v>
      </c>
      <c r="J31" s="19">
        <f t="shared" si="10"/>
        <v>22524.021051090007</v>
      </c>
      <c r="K31" s="19">
        <f t="shared" si="10"/>
        <v>23794.606853972007</v>
      </c>
      <c r="L31" s="19">
        <f t="shared" si="10"/>
        <v>25733.867312570721</v>
      </c>
    </row>
    <row r="32" spans="1:12" outlineLevel="1" x14ac:dyDescent="0.3">
      <c r="A32" s="1" t="s">
        <v>64</v>
      </c>
      <c r="C32" s="9">
        <f>'Historical P&amp;L'!B5</f>
        <v>15190</v>
      </c>
      <c r="D32" s="9">
        <f>'Historical P&amp;L'!C5</f>
        <v>17528</v>
      </c>
      <c r="E32" s="9">
        <f>'Historical P&amp;L'!D5</f>
        <v>16046</v>
      </c>
      <c r="F32" s="9">
        <f>'Historical P&amp;L'!E5</f>
        <v>16546</v>
      </c>
      <c r="G32" s="9">
        <f>'Historical P&amp;L'!F5</f>
        <v>13774</v>
      </c>
      <c r="H32" s="9">
        <f>H29*H13</f>
        <v>14698.419300000001</v>
      </c>
      <c r="I32" s="9">
        <f>I29*I13</f>
        <v>15139.371879000002</v>
      </c>
      <c r="J32" s="9">
        <f>J29*J13</f>
        <v>15593.553035370003</v>
      </c>
      <c r="K32" s="9">
        <f>K29*K13</f>
        <v>16061.359626431105</v>
      </c>
      <c r="L32" s="9">
        <f>L29*L13</f>
        <v>16543.200415224041</v>
      </c>
    </row>
    <row r="33" spans="1:12" outlineLevel="1" x14ac:dyDescent="0.3">
      <c r="A33" s="1" t="s">
        <v>65</v>
      </c>
      <c r="C33" s="9">
        <f>'Historical P&amp;L'!B6</f>
        <v>6543</v>
      </c>
      <c r="D33" s="9">
        <f>'Historical P&amp;L'!C6</f>
        <v>7002</v>
      </c>
      <c r="E33" s="9">
        <f>'Historical P&amp;L'!D6</f>
        <v>5634</v>
      </c>
      <c r="F33" s="9">
        <f>'Historical P&amp;L'!E6</f>
        <v>5507</v>
      </c>
      <c r="G33" s="9">
        <f>'Historical P&amp;L'!F6</f>
        <v>4624</v>
      </c>
      <c r="H33" s="9">
        <f>H29*H12</f>
        <v>4899.4731000000002</v>
      </c>
      <c r="I33" s="9">
        <f>I29*I12</f>
        <v>5046.4572930000004</v>
      </c>
      <c r="J33" s="9">
        <f>J29*J12</f>
        <v>5197.8510117900005</v>
      </c>
      <c r="K33" s="9">
        <f>K29*K12</f>
        <v>5353.7865421437009</v>
      </c>
      <c r="L33" s="9">
        <f>L29*L12</f>
        <v>5514.4001384080129</v>
      </c>
    </row>
    <row r="34" spans="1:12" outlineLevel="1" x14ac:dyDescent="0.3">
      <c r="A34" s="1" t="s">
        <v>7</v>
      </c>
      <c r="C34" s="9">
        <f>'Historical P&amp;L'!B7</f>
        <v>2626</v>
      </c>
      <c r="D34" s="9">
        <f>'Historical P&amp;L'!C7</f>
        <v>2</v>
      </c>
      <c r="E34" s="9">
        <f>'Historical P&amp;L'!D7</f>
        <v>-62</v>
      </c>
      <c r="F34" s="9">
        <f>'Historical P&amp;L'!E7</f>
        <v>6970</v>
      </c>
      <c r="G34" s="9">
        <f>'Historical P&amp;L'!F7</f>
        <v>2191</v>
      </c>
      <c r="H34" s="9">
        <f>H29*H14</f>
        <v>1088.7718</v>
      </c>
      <c r="I34" s="9">
        <f>I29*I14</f>
        <v>1121.4349540000001</v>
      </c>
      <c r="J34" s="9">
        <f>J29*J14</f>
        <v>1155.0780026200002</v>
      </c>
      <c r="K34" s="9">
        <f>K29*K14</f>
        <v>1189.7303426986002</v>
      </c>
      <c r="L34" s="9">
        <f>L29*L14</f>
        <v>1225.4222529795584</v>
      </c>
    </row>
    <row r="35" spans="1:12" outlineLevel="1" x14ac:dyDescent="0.3">
      <c r="A35" s="17" t="s">
        <v>66</v>
      </c>
      <c r="C35" s="19">
        <f>SUM(C32:C34)</f>
        <v>24359</v>
      </c>
      <c r="D35" s="19">
        <f t="shared" ref="D35:H35" si="11">SUM(D32:D34)</f>
        <v>24532</v>
      </c>
      <c r="E35" s="19">
        <f t="shared" si="11"/>
        <v>21618</v>
      </c>
      <c r="F35" s="19">
        <f t="shared" si="11"/>
        <v>29023</v>
      </c>
      <c r="G35" s="19">
        <f t="shared" si="11"/>
        <v>20589</v>
      </c>
      <c r="H35" s="19">
        <f t="shared" si="11"/>
        <v>20686.664199999999</v>
      </c>
      <c r="I35" s="19">
        <f t="shared" ref="I35:L35" si="12">SUM(I32:I34)</f>
        <v>21307.264126000002</v>
      </c>
      <c r="J35" s="19">
        <f t="shared" si="12"/>
        <v>21946.482049780003</v>
      </c>
      <c r="K35" s="19">
        <f t="shared" si="12"/>
        <v>22604.876511273407</v>
      </c>
      <c r="L35" s="19">
        <f t="shared" si="12"/>
        <v>23283.022806611611</v>
      </c>
    </row>
    <row r="36" spans="1:12" outlineLevel="1" x14ac:dyDescent="0.3">
      <c r="A36" s="17" t="s">
        <v>67</v>
      </c>
      <c r="C36" s="19">
        <f>C31-C35</f>
        <v>19456</v>
      </c>
      <c r="D36" s="19">
        <f t="shared" ref="D36:K36" si="13">D31-D35</f>
        <v>2334</v>
      </c>
      <c r="E36" s="19">
        <f t="shared" si="13"/>
        <v>93</v>
      </c>
      <c r="F36" s="19">
        <f t="shared" si="13"/>
        <v>-11678</v>
      </c>
      <c r="G36" s="19">
        <f t="shared" si="13"/>
        <v>-2214</v>
      </c>
      <c r="H36" s="19">
        <f t="shared" si="13"/>
        <v>-1633.1576999999961</v>
      </c>
      <c r="I36" s="19">
        <f t="shared" si="13"/>
        <v>-1121.4349539999967</v>
      </c>
      <c r="J36" s="19">
        <f t="shared" si="13"/>
        <v>577.5390013100041</v>
      </c>
      <c r="K36" s="19">
        <f t="shared" si="13"/>
        <v>1189.7303426986</v>
      </c>
      <c r="L36" s="19">
        <f>L31-L35</f>
        <v>2450.8445059591104</v>
      </c>
    </row>
    <row r="37" spans="1:12" outlineLevel="1" x14ac:dyDescent="0.3">
      <c r="A37" s="1" t="s">
        <v>68</v>
      </c>
      <c r="C37" s="9">
        <f>'Historical P&amp;L'!B10+'Historical P&amp;L'!B11</f>
        <v>2247</v>
      </c>
      <c r="D37" s="9">
        <f>'Historical P&amp;L'!C10+'Historical P&amp;L'!C11</f>
        <v>5434</v>
      </c>
      <c r="E37" s="9">
        <f>'Historical P&amp;L'!D10+'Historical P&amp;L'!D11</f>
        <v>669</v>
      </c>
      <c r="F37" s="9">
        <f>'Historical P&amp;L'!E10+'Historical P&amp;L'!E11</f>
        <v>468</v>
      </c>
      <c r="G37" s="9">
        <f>'Historical P&amp;L'!F10+'Historical P&amp;L'!F11</f>
        <v>3771</v>
      </c>
      <c r="H37" s="9">
        <f>H29*H23</f>
        <v>2721.9295000000002</v>
      </c>
      <c r="I37" s="9">
        <f>I29*I23</f>
        <v>2803.5873850000007</v>
      </c>
      <c r="J37" s="9">
        <f>J29*J23</f>
        <v>2887.6950065500005</v>
      </c>
      <c r="K37" s="9">
        <f>K29*K23</f>
        <v>2974.3258567465009</v>
      </c>
      <c r="L37" s="9">
        <f>L29*L23</f>
        <v>3063.5556324488962</v>
      </c>
    </row>
    <row r="38" spans="1:12" outlineLevel="1" x14ac:dyDescent="0.3">
      <c r="A38" s="17" t="s">
        <v>59</v>
      </c>
      <c r="C38" s="19">
        <f t="shared" ref="C38:L38" si="14">SUM(C36:C37)</f>
        <v>21703</v>
      </c>
      <c r="D38" s="19">
        <f t="shared" si="14"/>
        <v>7768</v>
      </c>
      <c r="E38" s="19">
        <f t="shared" si="14"/>
        <v>762</v>
      </c>
      <c r="F38" s="19">
        <f t="shared" si="14"/>
        <v>-11210</v>
      </c>
      <c r="G38" s="19">
        <f t="shared" si="14"/>
        <v>1557</v>
      </c>
      <c r="H38" s="19">
        <f t="shared" si="14"/>
        <v>1088.7718000000041</v>
      </c>
      <c r="I38" s="19">
        <f t="shared" si="14"/>
        <v>1682.1524310000041</v>
      </c>
      <c r="J38" s="19">
        <f t="shared" si="14"/>
        <v>3465.2340078600046</v>
      </c>
      <c r="K38" s="19">
        <f t="shared" si="14"/>
        <v>4164.0561994451009</v>
      </c>
      <c r="L38" s="19">
        <f t="shared" si="14"/>
        <v>5514.4001384080066</v>
      </c>
    </row>
    <row r="39" spans="1:12" outlineLevel="1" x14ac:dyDescent="0.3">
      <c r="A39" s="1" t="s">
        <v>13</v>
      </c>
      <c r="C39" s="9">
        <f>'Historical P&amp;L'!B13</f>
        <v>1835</v>
      </c>
      <c r="D39" s="9">
        <f>'Historical P&amp;L'!C13</f>
        <v>-249</v>
      </c>
      <c r="E39" s="9">
        <f>'Historical P&amp;L'!D13</f>
        <v>-913</v>
      </c>
      <c r="F39" s="9">
        <f>'Historical P&amp;L'!E13</f>
        <v>8023</v>
      </c>
      <c r="G39" s="9">
        <f>'Historical P&amp;L'!F13</f>
        <v>1531</v>
      </c>
      <c r="H39" s="9">
        <f>H38*H20</f>
        <v>217.75436000000082</v>
      </c>
      <c r="I39" s="9">
        <f>I38*I20</f>
        <v>336.43048620000081</v>
      </c>
      <c r="J39" s="9">
        <f>J38*J20</f>
        <v>693.04680157200096</v>
      </c>
      <c r="K39" s="9">
        <f>K38*K20</f>
        <v>832.81123988902027</v>
      </c>
      <c r="L39" s="9">
        <f>L38*L20</f>
        <v>1102.8800276816014</v>
      </c>
    </row>
    <row r="40" spans="1:12" outlineLevel="1" x14ac:dyDescent="0.3">
      <c r="A40" s="22" t="s">
        <v>69</v>
      </c>
      <c r="B40" s="23"/>
      <c r="C40" s="24">
        <f>C38-C39</f>
        <v>19868</v>
      </c>
      <c r="D40" s="24">
        <f t="shared" ref="D40:L40" si="15">D38-D39</f>
        <v>8017</v>
      </c>
      <c r="E40" s="24">
        <f t="shared" si="15"/>
        <v>1675</v>
      </c>
      <c r="F40" s="24">
        <f t="shared" si="15"/>
        <v>-19233</v>
      </c>
      <c r="G40" s="24">
        <f t="shared" si="15"/>
        <v>26</v>
      </c>
      <c r="H40" s="24">
        <f t="shared" si="15"/>
        <v>871.01744000000326</v>
      </c>
      <c r="I40" s="24">
        <f t="shared" si="15"/>
        <v>1345.7219448000033</v>
      </c>
      <c r="J40" s="24">
        <f t="shared" si="15"/>
        <v>2772.1872062880038</v>
      </c>
      <c r="K40" s="24">
        <f t="shared" si="15"/>
        <v>3331.2449595560806</v>
      </c>
      <c r="L40" s="24">
        <f t="shared" si="15"/>
        <v>4411.5201107264056</v>
      </c>
    </row>
    <row r="41" spans="1:12" outlineLevel="1" x14ac:dyDescent="0.3">
      <c r="A41" s="17"/>
      <c r="C41" s="9"/>
      <c r="D41" s="9"/>
      <c r="E41" s="9"/>
      <c r="F41" s="9"/>
      <c r="G41" s="9"/>
    </row>
    <row r="42" spans="1:12" outlineLevel="1" x14ac:dyDescent="0.3">
      <c r="A42" s="17" t="s">
        <v>104</v>
      </c>
      <c r="C42" s="19">
        <f>C74</f>
        <v>11792</v>
      </c>
      <c r="D42" s="19">
        <f>D74</f>
        <v>13035</v>
      </c>
      <c r="E42" s="19">
        <f>E74</f>
        <v>9602</v>
      </c>
      <c r="F42" s="19">
        <f>F74</f>
        <v>11379</v>
      </c>
      <c r="G42" s="19">
        <f>G74</f>
        <v>11706</v>
      </c>
      <c r="H42" s="19">
        <f>H74</f>
        <v>11595.54</v>
      </c>
      <c r="I42" s="19">
        <f>I74</f>
        <v>12116.504070000001</v>
      </c>
      <c r="J42" s="19">
        <f>J74</f>
        <v>12634.056296400002</v>
      </c>
      <c r="K42" s="19">
        <f>K74</f>
        <v>13150.188808119003</v>
      </c>
      <c r="L42" s="19">
        <f>L74</f>
        <v>13666.723104678602</v>
      </c>
    </row>
    <row r="43" spans="1:12" outlineLevel="1" x14ac:dyDescent="0.3">
      <c r="A43" s="17" t="s">
        <v>105</v>
      </c>
      <c r="C43" s="19">
        <f>C42+C36</f>
        <v>31248</v>
      </c>
      <c r="D43" s="19">
        <f>D42+D36</f>
        <v>15369</v>
      </c>
      <c r="E43" s="19">
        <f>E42+E36</f>
        <v>9695</v>
      </c>
      <c r="F43" s="19">
        <f>F42+F36</f>
        <v>-299</v>
      </c>
      <c r="G43" s="19">
        <f>G42+G36</f>
        <v>9492</v>
      </c>
      <c r="H43" s="19">
        <f>H42+H36</f>
        <v>9962.3823000000048</v>
      </c>
      <c r="I43" s="19">
        <f>I42+I36</f>
        <v>10995.069116000004</v>
      </c>
      <c r="J43" s="19">
        <f>J42+J36</f>
        <v>13211.595297710006</v>
      </c>
      <c r="K43" s="19">
        <f>K42+K36</f>
        <v>14339.919150817603</v>
      </c>
      <c r="L43" s="19">
        <f>L42+L36</f>
        <v>16117.567610637712</v>
      </c>
    </row>
    <row r="44" spans="1:12" outlineLevel="1" x14ac:dyDescent="0.3"/>
    <row r="45" spans="1:12" ht="17.25" x14ac:dyDescent="0.3">
      <c r="A45" s="13" t="s">
        <v>60</v>
      </c>
      <c r="B45" s="13"/>
      <c r="C45" s="11">
        <v>2021</v>
      </c>
      <c r="D45" s="11">
        <v>2022</v>
      </c>
      <c r="E45" s="11">
        <v>2023</v>
      </c>
      <c r="F45" s="11">
        <v>2024</v>
      </c>
      <c r="G45" s="11">
        <v>2025</v>
      </c>
      <c r="H45" s="12">
        <v>2026</v>
      </c>
      <c r="I45" s="12">
        <v>2027</v>
      </c>
      <c r="J45" s="12">
        <v>2028</v>
      </c>
      <c r="K45" s="12">
        <v>2029</v>
      </c>
      <c r="L45" s="12">
        <v>2030</v>
      </c>
    </row>
    <row r="46" spans="1:12" outlineLevel="1" x14ac:dyDescent="0.3"/>
    <row r="47" spans="1:12" outlineLevel="1" x14ac:dyDescent="0.3">
      <c r="A47" s="17" t="s">
        <v>24</v>
      </c>
    </row>
    <row r="48" spans="1:12" outlineLevel="1" x14ac:dyDescent="0.3">
      <c r="A48" s="1" t="s">
        <v>70</v>
      </c>
      <c r="C48" s="9">
        <f>'Historical Balance Sheet'!B3</f>
        <v>4827</v>
      </c>
      <c r="D48" s="9">
        <f>'Historical Balance Sheet'!C3</f>
        <v>11144</v>
      </c>
      <c r="E48" s="9">
        <f>'Historical Balance Sheet'!D3</f>
        <v>7079</v>
      </c>
      <c r="F48" s="9">
        <f>'Historical Balance Sheet'!E3</f>
        <v>8249</v>
      </c>
      <c r="G48" s="9">
        <f>'Historical Balance Sheet'!F3</f>
        <v>14265</v>
      </c>
      <c r="H48" s="9">
        <f>H93</f>
        <v>24575.353203287672</v>
      </c>
      <c r="I48" s="9">
        <f t="shared" ref="I48:L48" si="16">I93</f>
        <v>35418.628877493153</v>
      </c>
      <c r="J48" s="9">
        <f t="shared" si="16"/>
        <v>47248.224046211726</v>
      </c>
      <c r="K48" s="9">
        <f t="shared" si="16"/>
        <v>59504.981532414509</v>
      </c>
      <c r="L48" s="9">
        <f t="shared" si="16"/>
        <v>72320.134449600882</v>
      </c>
    </row>
    <row r="49" spans="1:20" outlineLevel="1" x14ac:dyDescent="0.3">
      <c r="A49" s="1" t="s">
        <v>90</v>
      </c>
      <c r="C49" s="9">
        <f>'Historical Balance Sheet'!B5</f>
        <v>9457</v>
      </c>
      <c r="D49" s="9">
        <f>'Historical Balance Sheet'!C5</f>
        <v>4133</v>
      </c>
      <c r="E49" s="9">
        <f>'Historical Balance Sheet'!D5</f>
        <v>3402</v>
      </c>
      <c r="F49" s="9">
        <f>'Historical Balance Sheet'!E5</f>
        <v>3478</v>
      </c>
      <c r="G49" s="9">
        <f>'Historical Balance Sheet'!F5</f>
        <v>3839</v>
      </c>
      <c r="H49" s="9">
        <f>H29*(H15/H24)</f>
        <v>4026.9641917808221</v>
      </c>
      <c r="I49" s="9">
        <f>I29*(I15/I24)</f>
        <v>3994.1518909589045</v>
      </c>
      <c r="J49" s="9">
        <f>J29*(J15/J24)</f>
        <v>4113.9764476876717</v>
      </c>
      <c r="K49" s="9">
        <f>K29*(K15/K24)</f>
        <v>4074.4189818445211</v>
      </c>
      <c r="L49" s="9">
        <f>L29*(L15/L24)</f>
        <v>4196.6515512998576</v>
      </c>
    </row>
    <row r="50" spans="1:20" outlineLevel="1" x14ac:dyDescent="0.3">
      <c r="A50" s="1" t="s">
        <v>61</v>
      </c>
      <c r="C50" s="9">
        <f>'Historical Balance Sheet'!B6</f>
        <v>10776</v>
      </c>
      <c r="D50" s="9">
        <f>'Historical Balance Sheet'!C6</f>
        <v>13224</v>
      </c>
      <c r="E50" s="9">
        <f>'Historical Balance Sheet'!D6</f>
        <v>11127</v>
      </c>
      <c r="F50" s="9">
        <f>'Historical Balance Sheet'!E6</f>
        <v>12198</v>
      </c>
      <c r="G50" s="9">
        <f>'Historical Balance Sheet'!F6</f>
        <v>11618</v>
      </c>
      <c r="H50" s="9">
        <f>H30*(H16/H24)</f>
        <v>11633.452109589041</v>
      </c>
      <c r="I50" s="9">
        <f>I30*(I16/I24)</f>
        <v>11601.475030969863</v>
      </c>
      <c r="J50" s="9">
        <f>J30*(J16/J24)</f>
        <v>11196.345132245371</v>
      </c>
      <c r="K50" s="9">
        <f>K30*(K16/K24)</f>
        <v>11245.396389890879</v>
      </c>
      <c r="L50" s="9">
        <f>L30*(L16/L24)</f>
        <v>11196.666338868021</v>
      </c>
      <c r="O50" s="15"/>
    </row>
    <row r="51" spans="1:20" outlineLevel="1" x14ac:dyDescent="0.3">
      <c r="A51" s="1" t="s">
        <v>91</v>
      </c>
      <c r="C51" s="9">
        <f>'Historical Balance Sheet'!B4+'Historical Balance Sheet'!B7+'Historical Balance Sheet'!B8</f>
        <v>32658</v>
      </c>
      <c r="D51" s="9">
        <f>'Historical Balance Sheet'!C4+'Historical Balance Sheet'!C7+'Historical Balance Sheet'!C8</f>
        <v>21906</v>
      </c>
      <c r="E51" s="9">
        <f>'Historical Balance Sheet'!D4+'Historical Balance Sheet'!D7+'Historical Balance Sheet'!D8</f>
        <v>21661</v>
      </c>
      <c r="F51" s="9">
        <f>'Historical Balance Sheet'!E4+'Historical Balance Sheet'!E7+'Historical Balance Sheet'!E8</f>
        <v>23399</v>
      </c>
      <c r="G51" s="9">
        <f>'Historical Balance Sheet'!F4+'Historical Balance Sheet'!F7+'Historical Balance Sheet'!F8</f>
        <v>33966</v>
      </c>
      <c r="H51" s="9">
        <f>G51</f>
        <v>33966</v>
      </c>
      <c r="I51" s="9">
        <f t="shared" ref="I51:L51" si="17">H51</f>
        <v>33966</v>
      </c>
      <c r="J51" s="9">
        <f t="shared" si="17"/>
        <v>33966</v>
      </c>
      <c r="K51" s="9">
        <f t="shared" si="17"/>
        <v>33966</v>
      </c>
      <c r="L51" s="9">
        <f t="shared" si="17"/>
        <v>33966</v>
      </c>
    </row>
    <row r="52" spans="1:20" outlineLevel="1" x14ac:dyDescent="0.3">
      <c r="A52" s="1" t="s">
        <v>31</v>
      </c>
      <c r="C52" s="9">
        <f>'Historical Balance Sheet'!B10</f>
        <v>63245</v>
      </c>
      <c r="D52" s="9">
        <f>'Historical Balance Sheet'!C10</f>
        <v>80860</v>
      </c>
      <c r="E52" s="9">
        <f>'Historical Balance Sheet'!D10</f>
        <v>96647</v>
      </c>
      <c r="F52" s="9">
        <f>'Historical Balance Sheet'!E10</f>
        <v>107919</v>
      </c>
      <c r="G52" s="9">
        <f>'Historical Balance Sheet'!F10</f>
        <v>105414</v>
      </c>
      <c r="H52" s="9">
        <f>(G52-H82)-H74</f>
        <v>110150.03700000001</v>
      </c>
      <c r="I52" s="9">
        <f>(H52-I82)-I74</f>
        <v>114855.05724000002</v>
      </c>
      <c r="J52" s="9">
        <f>(I52-J82)-J74</f>
        <v>119547.17098290002</v>
      </c>
      <c r="K52" s="9">
        <f>(J52-K82)-K74</f>
        <v>124242.93731526002</v>
      </c>
      <c r="L52" s="9">
        <f>(K52-L82)-L74</f>
        <v>128957.5480052748</v>
      </c>
    </row>
    <row r="53" spans="1:20" outlineLevel="1" x14ac:dyDescent="0.3">
      <c r="A53" s="1" t="s">
        <v>94</v>
      </c>
      <c r="C53" s="9">
        <f>'Historical Balance Sheet'!B12+'Historical Balance Sheet'!B13+'Historical Balance Sheet'!B14+'Historical Balance Sheet'!B11</f>
        <v>47443</v>
      </c>
      <c r="D53" s="9">
        <f>'Historical Balance Sheet'!C12+'Historical Balance Sheet'!C13+'Historical Balance Sheet'!C14+'Historical Balance Sheet'!C11</f>
        <v>50836</v>
      </c>
      <c r="E53" s="9">
        <f>'Historical Balance Sheet'!D12+'Historical Balance Sheet'!D13+'Historical Balance Sheet'!D14+'Historical Balance Sheet'!D11</f>
        <v>51656</v>
      </c>
      <c r="F53" s="9">
        <f>'Historical Balance Sheet'!E12+'Historical Balance Sheet'!E13+'Historical Balance Sheet'!E14+'Historical Balance Sheet'!E11</f>
        <v>41242</v>
      </c>
      <c r="G53" s="9">
        <f>'Historical Balance Sheet'!F12+'Historical Balance Sheet'!F13+'Historical Balance Sheet'!F14+'Historical Balance Sheet'!F11</f>
        <v>42327</v>
      </c>
      <c r="H53" s="9">
        <f>G53</f>
        <v>42327</v>
      </c>
      <c r="I53" s="9">
        <f t="shared" ref="I53:L53" si="18">H53</f>
        <v>42327</v>
      </c>
      <c r="J53" s="9">
        <f t="shared" si="18"/>
        <v>42327</v>
      </c>
      <c r="K53" s="9">
        <f t="shared" si="18"/>
        <v>42327</v>
      </c>
      <c r="L53" s="9">
        <f t="shared" si="18"/>
        <v>42327</v>
      </c>
    </row>
    <row r="54" spans="1:20" outlineLevel="1" x14ac:dyDescent="0.3">
      <c r="A54" s="22" t="s">
        <v>62</v>
      </c>
      <c r="B54" s="23"/>
      <c r="C54" s="24">
        <f t="shared" ref="C54:L54" si="19">SUM(C48:C53)</f>
        <v>168406</v>
      </c>
      <c r="D54" s="24">
        <f t="shared" si="19"/>
        <v>182103</v>
      </c>
      <c r="E54" s="24">
        <f t="shared" si="19"/>
        <v>191572</v>
      </c>
      <c r="F54" s="24">
        <f t="shared" si="19"/>
        <v>196485</v>
      </c>
      <c r="G54" s="24">
        <f t="shared" si="19"/>
        <v>211429</v>
      </c>
      <c r="H54" s="24">
        <f t="shared" si="19"/>
        <v>226678.80650465755</v>
      </c>
      <c r="I54" s="24">
        <f t="shared" si="19"/>
        <v>242162.31303942195</v>
      </c>
      <c r="J54" s="24">
        <f t="shared" si="19"/>
        <v>258398.71660904479</v>
      </c>
      <c r="K54" s="24">
        <f t="shared" si="19"/>
        <v>275360.73421940993</v>
      </c>
      <c r="L54" s="24">
        <f t="shared" si="19"/>
        <v>292964.00034504355</v>
      </c>
    </row>
    <row r="55" spans="1:20" outlineLevel="1" x14ac:dyDescent="0.3">
      <c r="A55" s="1"/>
      <c r="C55" s="9"/>
      <c r="D55" s="9"/>
      <c r="E55" s="9"/>
      <c r="F55" s="9"/>
      <c r="G55" s="9"/>
    </row>
    <row r="56" spans="1:20" outlineLevel="1" x14ac:dyDescent="0.3">
      <c r="A56" s="17" t="s">
        <v>63</v>
      </c>
      <c r="C56" s="9"/>
      <c r="D56" s="9"/>
      <c r="E56" s="9"/>
      <c r="F56" s="9"/>
      <c r="G56" s="9"/>
    </row>
    <row r="57" spans="1:20" outlineLevel="1" x14ac:dyDescent="0.3">
      <c r="A57" s="1" t="s">
        <v>71</v>
      </c>
      <c r="C57" s="9">
        <f>'Historical Balance Sheet'!B18</f>
        <v>5747</v>
      </c>
      <c r="D57" s="9">
        <f>'Historical Balance Sheet'!C18</f>
        <v>9595</v>
      </c>
      <c r="E57" s="9">
        <f>'Historical Balance Sheet'!D18</f>
        <v>8578</v>
      </c>
      <c r="F57" s="9">
        <f>'Historical Balance Sheet'!E18</f>
        <v>12556</v>
      </c>
      <c r="G57" s="9">
        <f>'Historical Balance Sheet'!F18</f>
        <v>9882</v>
      </c>
      <c r="H57" s="9">
        <f>H30*(H17/H24)</f>
        <v>9694.5434246575333</v>
      </c>
      <c r="I57" s="9">
        <f>I30*(I17/I24)</f>
        <v>9831.7585008219176</v>
      </c>
      <c r="J57" s="9">
        <f>J30*(J17/J24)</f>
        <v>9652.0216657287674</v>
      </c>
      <c r="K57" s="9">
        <f>K30*(K17/K24)</f>
        <v>9778.6055564268499</v>
      </c>
      <c r="L57" s="9">
        <f>L30*(L17/L24)</f>
        <v>9736.2315990156712</v>
      </c>
    </row>
    <row r="58" spans="1:20" outlineLevel="1" x14ac:dyDescent="0.3">
      <c r="A58" s="1" t="s">
        <v>120</v>
      </c>
      <c r="C58" s="9">
        <f>'Historical Balance Sheet'!B19+'Historical Balance Sheet'!B20+'Historical Balance Sheet'!B21</f>
        <v>17124</v>
      </c>
      <c r="D58" s="9">
        <f>'Historical Balance Sheet'!C19+'Historical Balance Sheet'!C20+'Historical Balance Sheet'!C21</f>
        <v>18193</v>
      </c>
      <c r="E58" s="9">
        <f>'Historical Balance Sheet'!D19+'Historical Balance Sheet'!D20+'Historical Balance Sheet'!D21</f>
        <v>17187</v>
      </c>
      <c r="F58" s="9">
        <f>'Historical Balance Sheet'!E19+'Historical Balance Sheet'!E20+'Historical Balance Sheet'!E21</f>
        <v>19381</v>
      </c>
      <c r="G58" s="9">
        <f>'Historical Balance Sheet'!F19+'Historical Balance Sheet'!F20+'Historical Balance Sheet'!F21</f>
        <v>19194</v>
      </c>
      <c r="H58" s="9">
        <f>G58</f>
        <v>19194</v>
      </c>
      <c r="I58" s="9">
        <f t="shared" ref="I58:L58" si="20">H58</f>
        <v>19194</v>
      </c>
      <c r="J58" s="9">
        <f t="shared" si="20"/>
        <v>19194</v>
      </c>
      <c r="K58" s="9">
        <f t="shared" si="20"/>
        <v>19194</v>
      </c>
      <c r="L58" s="9">
        <f t="shared" si="20"/>
        <v>19194</v>
      </c>
    </row>
    <row r="59" spans="1:20" outlineLevel="1" x14ac:dyDescent="0.3">
      <c r="A59" s="1" t="s">
        <v>44</v>
      </c>
      <c r="C59" s="9">
        <f>'Historical Balance Sheet'!B17+'Historical Balance Sheet'!B23</f>
        <v>38101</v>
      </c>
      <c r="D59" s="9">
        <f>'Historical Balance Sheet'!C17+'Historical Balance Sheet'!C23</f>
        <v>42051</v>
      </c>
      <c r="E59" s="9">
        <f>'Historical Balance Sheet'!D17+'Historical Balance Sheet'!D23</f>
        <v>49266</v>
      </c>
      <c r="F59" s="9">
        <f>'Historical Balance Sheet'!E17+'Historical Balance Sheet'!E23</f>
        <v>50011</v>
      </c>
      <c r="G59" s="9">
        <f>'Historical Balance Sheet'!F17+'Historical Balance Sheet'!F23</f>
        <v>46585</v>
      </c>
      <c r="H59" s="9">
        <f>G59+H86</f>
        <v>45585</v>
      </c>
      <c r="I59" s="9">
        <f>H59+I86</f>
        <v>44585</v>
      </c>
      <c r="J59" s="9">
        <f>I59+J86</f>
        <v>43585</v>
      </c>
      <c r="K59" s="9">
        <f>J59+K86</f>
        <v>42585</v>
      </c>
      <c r="L59" s="9">
        <f>K59+L86</f>
        <v>41585</v>
      </c>
    </row>
    <row r="60" spans="1:20" outlineLevel="1" x14ac:dyDescent="0.3">
      <c r="A60" s="1" t="s">
        <v>93</v>
      </c>
      <c r="C60" s="9">
        <f>'Historical Balance Sheet'!B24+'Historical Balance Sheet'!B25+'Historical Balance Sheet'!B26</f>
        <v>12043</v>
      </c>
      <c r="D60" s="9">
        <f>'Historical Balance Sheet'!C24+'Historical Balance Sheet'!C25+'Historical Balance Sheet'!C26</f>
        <v>8978</v>
      </c>
      <c r="E60" s="9">
        <f>'Historical Balance Sheet'!D24+'Historical Balance Sheet'!D25+'Historical Balance Sheet'!D26</f>
        <v>6576</v>
      </c>
      <c r="F60" s="9">
        <f>'Historical Balance Sheet'!E24+'Historical Balance Sheet'!E25+'Historical Balance Sheet'!E26</f>
        <v>9505</v>
      </c>
      <c r="G60" s="9">
        <f>'Historical Balance Sheet'!F24+'Historical Balance Sheet'!F25+'Historical Balance Sheet'!F26</f>
        <v>9408</v>
      </c>
      <c r="H60" s="9">
        <f>G60</f>
        <v>9408</v>
      </c>
      <c r="I60" s="9">
        <f t="shared" ref="I60:L60" si="21">H60</f>
        <v>9408</v>
      </c>
      <c r="J60" s="9">
        <f t="shared" si="21"/>
        <v>9408</v>
      </c>
      <c r="K60" s="9">
        <f t="shared" si="21"/>
        <v>9408</v>
      </c>
      <c r="L60" s="9">
        <f t="shared" si="21"/>
        <v>9408</v>
      </c>
    </row>
    <row r="61" spans="1:20" outlineLevel="1" x14ac:dyDescent="0.3">
      <c r="A61" s="22" t="s">
        <v>95</v>
      </c>
      <c r="B61" s="23"/>
      <c r="C61" s="24">
        <f t="shared" ref="C61:L61" si="22">SUM(C57:C60)</f>
        <v>73015</v>
      </c>
      <c r="D61" s="24">
        <f t="shared" si="22"/>
        <v>78817</v>
      </c>
      <c r="E61" s="24">
        <f t="shared" si="22"/>
        <v>81607</v>
      </c>
      <c r="F61" s="24">
        <f t="shared" si="22"/>
        <v>91453</v>
      </c>
      <c r="G61" s="24">
        <f t="shared" si="22"/>
        <v>85069</v>
      </c>
      <c r="H61" s="24">
        <f t="shared" si="22"/>
        <v>83881.543424657531</v>
      </c>
      <c r="I61" s="24">
        <f t="shared" si="22"/>
        <v>83018.758500821918</v>
      </c>
      <c r="J61" s="24">
        <f t="shared" si="22"/>
        <v>81839.021665728767</v>
      </c>
      <c r="K61" s="24">
        <f t="shared" si="22"/>
        <v>80965.605556426846</v>
      </c>
      <c r="L61" s="24">
        <f t="shared" si="22"/>
        <v>79923.231599015679</v>
      </c>
    </row>
    <row r="62" spans="1:20" outlineLevel="1" x14ac:dyDescent="0.3">
      <c r="A62" s="17"/>
      <c r="C62" s="9"/>
      <c r="D62" s="9"/>
      <c r="E62" s="9"/>
      <c r="F62" s="9"/>
      <c r="G62" s="9"/>
      <c r="P62" s="15"/>
      <c r="Q62" s="15"/>
      <c r="R62" s="15"/>
      <c r="S62" s="15"/>
      <c r="T62" s="15"/>
    </row>
    <row r="63" spans="1:20" outlineLevel="1" x14ac:dyDescent="0.3">
      <c r="A63" s="17" t="s">
        <v>72</v>
      </c>
      <c r="C63" s="9"/>
      <c r="D63" s="9"/>
      <c r="E63" s="9"/>
      <c r="F63" s="9"/>
      <c r="G63" s="9"/>
    </row>
    <row r="64" spans="1:20" outlineLevel="1" x14ac:dyDescent="0.3">
      <c r="A64" s="1" t="s">
        <v>73</v>
      </c>
      <c r="C64" s="9">
        <f>'Historical Balance Sheet'!B28</f>
        <v>28006</v>
      </c>
      <c r="D64" s="9">
        <f>'Historical Balance Sheet'!C28</f>
        <v>31580</v>
      </c>
      <c r="E64" s="9">
        <f>'Historical Balance Sheet'!D28</f>
        <v>36649</v>
      </c>
      <c r="F64" s="9">
        <f>'Historical Balance Sheet'!E28</f>
        <v>50949</v>
      </c>
      <c r="G64" s="9">
        <f>'Historical Balance Sheet'!F28</f>
        <v>65185</v>
      </c>
      <c r="H64" s="15">
        <f>G64+H88</f>
        <v>80522</v>
      </c>
      <c r="I64" s="15">
        <f>H64+I88</f>
        <v>95859</v>
      </c>
      <c r="J64" s="15">
        <f>I64+J88</f>
        <v>111196</v>
      </c>
      <c r="K64" s="15">
        <f>J64+K88</f>
        <v>126533</v>
      </c>
      <c r="L64" s="15">
        <f>K64+L88</f>
        <v>141870</v>
      </c>
    </row>
    <row r="65" spans="1:18" outlineLevel="1" x14ac:dyDescent="0.3">
      <c r="A65" s="1" t="s">
        <v>74</v>
      </c>
      <c r="C65" s="9">
        <f>'Historical Balance Sheet'!B29+'Historical Balance Sheet'!B30</f>
        <v>67385</v>
      </c>
      <c r="D65" s="9">
        <f>'Historical Balance Sheet'!C29+'Historical Balance Sheet'!C30</f>
        <v>69843</v>
      </c>
      <c r="E65" s="9">
        <f>'Historical Balance Sheet'!D29+'Historical Balance Sheet'!D30</f>
        <v>68941</v>
      </c>
      <c r="F65" s="9">
        <f>'Historical Balance Sheet'!E29+'Historical Balance Sheet'!E30</f>
        <v>48321</v>
      </c>
      <c r="G65" s="9">
        <f>'Historical Balance Sheet'!F29+'Historical Balance Sheet'!F30</f>
        <v>49096</v>
      </c>
      <c r="H65" s="15">
        <f>G65+H40+H87</f>
        <v>49749.263080000004</v>
      </c>
      <c r="I65" s="15">
        <f>H65+I40+I87</f>
        <v>50758.554538600009</v>
      </c>
      <c r="J65" s="15">
        <f>I65+J40+J87</f>
        <v>52837.694943316012</v>
      </c>
      <c r="K65" s="15">
        <f>J65+K40+K87</f>
        <v>55336.128662983072</v>
      </c>
      <c r="L65" s="15">
        <f>K65+L40+L87</f>
        <v>58644.768746027876</v>
      </c>
    </row>
    <row r="66" spans="1:18" outlineLevel="1" x14ac:dyDescent="0.3">
      <c r="A66" s="1" t="s">
        <v>75</v>
      </c>
      <c r="C66" s="9">
        <f>'Historical Balance Sheet'!B32</f>
        <v>0</v>
      </c>
      <c r="D66" s="9">
        <f>'Historical Balance Sheet'!C32</f>
        <v>1863</v>
      </c>
      <c r="E66" s="9">
        <f>'Historical Balance Sheet'!D32</f>
        <v>4375</v>
      </c>
      <c r="F66" s="9">
        <f>'Historical Balance Sheet'!E32</f>
        <v>5762</v>
      </c>
      <c r="G66" s="9">
        <f>'Historical Balance Sheet'!F32</f>
        <v>12079</v>
      </c>
      <c r="H66" s="9">
        <f>G66+447</f>
        <v>12526</v>
      </c>
      <c r="I66" s="9">
        <f>H66</f>
        <v>12526</v>
      </c>
      <c r="J66" s="9">
        <f t="shared" ref="J66:L66" si="23">I66</f>
        <v>12526</v>
      </c>
      <c r="K66" s="9">
        <f t="shared" si="23"/>
        <v>12526</v>
      </c>
      <c r="L66" s="9">
        <f t="shared" si="23"/>
        <v>12526</v>
      </c>
    </row>
    <row r="67" spans="1:18" outlineLevel="1" x14ac:dyDescent="0.3">
      <c r="A67" s="22" t="s">
        <v>76</v>
      </c>
      <c r="B67" s="23"/>
      <c r="C67" s="24">
        <f>SUM(C64:C66)</f>
        <v>95391</v>
      </c>
      <c r="D67" s="24">
        <f t="shared" ref="D67:L67" si="24">SUM(D64:D66)</f>
        <v>103286</v>
      </c>
      <c r="E67" s="24">
        <f t="shared" si="24"/>
        <v>109965</v>
      </c>
      <c r="F67" s="24">
        <f t="shared" si="24"/>
        <v>105032</v>
      </c>
      <c r="G67" s="24">
        <f t="shared" si="24"/>
        <v>126360</v>
      </c>
      <c r="H67" s="24">
        <f t="shared" si="24"/>
        <v>142797.26308</v>
      </c>
      <c r="I67" s="24">
        <f t="shared" si="24"/>
        <v>159143.5545386</v>
      </c>
      <c r="J67" s="24">
        <f t="shared" si="24"/>
        <v>176559.69494331602</v>
      </c>
      <c r="K67" s="24">
        <f t="shared" si="24"/>
        <v>194395.12866298307</v>
      </c>
      <c r="L67" s="24">
        <f t="shared" si="24"/>
        <v>213040.76874602787</v>
      </c>
    </row>
    <row r="68" spans="1:18" outlineLevel="1" x14ac:dyDescent="0.3">
      <c r="A68" s="17"/>
      <c r="C68" s="9"/>
      <c r="D68" s="9"/>
      <c r="E68" s="9"/>
      <c r="F68" s="9"/>
      <c r="G68" s="9"/>
      <c r="N68" s="20"/>
      <c r="O68" s="20"/>
      <c r="P68" s="20"/>
      <c r="Q68" s="20"/>
      <c r="R68" s="20"/>
    </row>
    <row r="69" spans="1:18" outlineLevel="1" x14ac:dyDescent="0.3">
      <c r="A69" s="17" t="s">
        <v>96</v>
      </c>
      <c r="C69" s="19">
        <f t="shared" ref="C69:L69" si="25">C54-(C61+C67)</f>
        <v>0</v>
      </c>
      <c r="D69" s="19">
        <f t="shared" si="25"/>
        <v>0</v>
      </c>
      <c r="E69" s="19">
        <f t="shared" si="25"/>
        <v>0</v>
      </c>
      <c r="F69" s="19">
        <f t="shared" si="25"/>
        <v>0</v>
      </c>
      <c r="G69" s="19">
        <f t="shared" si="25"/>
        <v>0</v>
      </c>
      <c r="H69" s="19">
        <f t="shared" si="25"/>
        <v>0</v>
      </c>
      <c r="I69" s="19">
        <f t="shared" si="25"/>
        <v>0</v>
      </c>
      <c r="J69" s="19">
        <f t="shared" si="25"/>
        <v>0</v>
      </c>
      <c r="K69" s="19">
        <f t="shared" si="25"/>
        <v>0</v>
      </c>
      <c r="L69" s="19">
        <f t="shared" si="25"/>
        <v>0</v>
      </c>
      <c r="O69" s="20"/>
      <c r="P69" s="20"/>
      <c r="Q69" s="20"/>
      <c r="R69" s="20"/>
    </row>
    <row r="70" spans="1:18" x14ac:dyDescent="0.3">
      <c r="A70" s="10"/>
      <c r="C70" s="15"/>
      <c r="D70" s="15"/>
      <c r="E70" s="15"/>
      <c r="F70" s="15"/>
      <c r="G70" s="15"/>
    </row>
    <row r="71" spans="1:18" ht="17.25" x14ac:dyDescent="0.3">
      <c r="A71" s="13" t="s">
        <v>101</v>
      </c>
      <c r="B71" s="13"/>
      <c r="C71" s="11">
        <v>2021</v>
      </c>
      <c r="D71" s="11">
        <v>2022</v>
      </c>
      <c r="E71" s="11">
        <v>2023</v>
      </c>
      <c r="F71" s="11">
        <v>2024</v>
      </c>
      <c r="G71" s="11">
        <v>2025</v>
      </c>
      <c r="H71" s="12">
        <v>2026</v>
      </c>
      <c r="I71" s="12">
        <v>2027</v>
      </c>
      <c r="J71" s="12">
        <v>2028</v>
      </c>
      <c r="K71" s="12">
        <v>2029</v>
      </c>
      <c r="L71" s="12">
        <v>2030</v>
      </c>
    </row>
    <row r="72" spans="1:18" outlineLevel="1" x14ac:dyDescent="0.3"/>
    <row r="73" spans="1:18" outlineLevel="1" x14ac:dyDescent="0.3">
      <c r="A73" s="17" t="s">
        <v>69</v>
      </c>
      <c r="C73" s="19">
        <f>'Historical Cash Flow'!B4</f>
        <v>19868</v>
      </c>
      <c r="D73" s="19">
        <f>'Historical Cash Flow'!C4</f>
        <v>8017</v>
      </c>
      <c r="E73" s="19">
        <f>'Historical Cash Flow'!D4</f>
        <v>1675</v>
      </c>
      <c r="F73" s="19">
        <f>'Historical Cash Flow'!E4</f>
        <v>-19233</v>
      </c>
      <c r="G73" s="19">
        <f>'Historical Cash Flow'!F4</f>
        <v>26</v>
      </c>
      <c r="H73" s="19">
        <f>H40</f>
        <v>871.01744000000326</v>
      </c>
      <c r="I73" s="19">
        <f>I40</f>
        <v>1345.7219448000033</v>
      </c>
      <c r="J73" s="19">
        <f>J40</f>
        <v>2772.1872062880038</v>
      </c>
      <c r="K73" s="19">
        <f>K40</f>
        <v>3331.2449595560806</v>
      </c>
      <c r="L73" s="19">
        <f>L40</f>
        <v>4411.5201107264056</v>
      </c>
    </row>
    <row r="74" spans="1:18" outlineLevel="1" x14ac:dyDescent="0.3">
      <c r="A74" s="1" t="s">
        <v>92</v>
      </c>
      <c r="C74" s="9">
        <f>'Historical Cash Flow'!B5+'Historical Cash Flow'!B8</f>
        <v>11792</v>
      </c>
      <c r="D74" s="9">
        <f>'Historical Cash Flow'!C5+'Historical Cash Flow'!C8</f>
        <v>13035</v>
      </c>
      <c r="E74" s="9">
        <f>'Historical Cash Flow'!D5+'Historical Cash Flow'!D8</f>
        <v>9602</v>
      </c>
      <c r="F74" s="9">
        <f>'Historical Cash Flow'!E5+'Historical Cash Flow'!E8</f>
        <v>11379</v>
      </c>
      <c r="G74" s="9">
        <f>'Historical Cash Flow'!F5+'Historical Cash Flow'!F8</f>
        <v>11706</v>
      </c>
      <c r="H74" s="9">
        <f>G52*H19</f>
        <v>11595.54</v>
      </c>
      <c r="I74" s="9">
        <f>H52*I19</f>
        <v>12116.504070000001</v>
      </c>
      <c r="J74" s="9">
        <f>I52*J19</f>
        <v>12634.056296400002</v>
      </c>
      <c r="K74" s="9">
        <f>J52*K19</f>
        <v>13150.188808119003</v>
      </c>
      <c r="L74" s="9">
        <f>K52*L19</f>
        <v>13666.723104678602</v>
      </c>
    </row>
    <row r="75" spans="1:18" outlineLevel="1" x14ac:dyDescent="0.3">
      <c r="A75" s="1" t="s">
        <v>121</v>
      </c>
      <c r="C75" s="9">
        <f>'Historical Cash Flow'!B6+'Historical Cash Flow'!B7+'Historical Cash Flow'!B9+'Historical Cash Flow'!B10+'Historical Cash Flow'!B11+'Historical Cash Flow'!B13+'Historical Cash Flow'!B17</f>
        <v>1621</v>
      </c>
      <c r="D75" s="9">
        <f>'Historical Cash Flow'!C6+'Historical Cash Flow'!C7+'Historical Cash Flow'!C9+'Historical Cash Flow'!C10+'Historical Cash Flow'!C11+'Historical Cash Flow'!C13+'Historical Cash Flow'!C17</f>
        <v>-1135</v>
      </c>
      <c r="E75" s="9">
        <f>'Historical Cash Flow'!D6+'Historical Cash Flow'!D7+'Historical Cash Flow'!D9+'Historical Cash Flow'!D10+'Historical Cash Flow'!D11+'Historical Cash Flow'!D13+'Historical Cash Flow'!D17</f>
        <v>2796</v>
      </c>
      <c r="F75" s="9">
        <f>'Historical Cash Flow'!E6+'Historical Cash Flow'!E7+'Historical Cash Flow'!E9+'Historical Cash Flow'!E10+'Historical Cash Flow'!E11+'Historical Cash Flow'!E13+'Historical Cash Flow'!E17</f>
        <v>8907</v>
      </c>
      <c r="G75" s="9">
        <f>'Historical Cash Flow'!F6+'Historical Cash Flow'!F7+'Historical Cash Flow'!F9+'Historical Cash Flow'!F10+'Historical Cash Flow'!F11+'Historical Cash Flow'!F13+'Historical Cash Flow'!F17</f>
        <v>-616</v>
      </c>
      <c r="H75" s="9">
        <v>0</v>
      </c>
      <c r="I75" s="9">
        <f t="shared" ref="I75:L75" si="26">H75</f>
        <v>0</v>
      </c>
      <c r="J75" s="9">
        <f t="shared" si="26"/>
        <v>0</v>
      </c>
      <c r="K75" s="9">
        <f t="shared" si="26"/>
        <v>0</v>
      </c>
      <c r="L75" s="9">
        <f t="shared" si="26"/>
        <v>0</v>
      </c>
    </row>
    <row r="76" spans="1:18" outlineLevel="1" x14ac:dyDescent="0.3">
      <c r="A76" s="1" t="s">
        <v>77</v>
      </c>
      <c r="C76" s="9">
        <f>'Historical Cash Flow'!B14</f>
        <v>-2674</v>
      </c>
      <c r="D76" s="9">
        <f>'Historical Cash Flow'!C14</f>
        <v>5327</v>
      </c>
      <c r="E76" s="9">
        <f>'Historical Cash Flow'!D14</f>
        <v>731</v>
      </c>
      <c r="F76" s="9">
        <f>'Historical Cash Flow'!E14</f>
        <v>-75</v>
      </c>
      <c r="G76" s="9">
        <f>'Historical Cash Flow'!F14</f>
        <v>-449</v>
      </c>
      <c r="H76" s="9">
        <f>G49-H49</f>
        <v>-187.96419178082215</v>
      </c>
      <c r="I76" s="9">
        <f t="shared" ref="I76:L76" si="27">H49-I49</f>
        <v>32.812300821917688</v>
      </c>
      <c r="J76" s="9">
        <f t="shared" si="27"/>
        <v>-119.82455672876722</v>
      </c>
      <c r="K76" s="9">
        <f t="shared" si="27"/>
        <v>39.557465843150567</v>
      </c>
      <c r="L76" s="9">
        <f t="shared" si="27"/>
        <v>-122.23256945533649</v>
      </c>
    </row>
    <row r="77" spans="1:18" outlineLevel="1" x14ac:dyDescent="0.3">
      <c r="A77" s="1" t="s">
        <v>78</v>
      </c>
      <c r="C77" s="9">
        <f>'Historical Cash Flow'!B15</f>
        <v>-2339</v>
      </c>
      <c r="D77" s="9">
        <f>'Historical Cash Flow'!C15</f>
        <v>-2436</v>
      </c>
      <c r="E77" s="9">
        <f>'Historical Cash Flow'!D15</f>
        <v>2097</v>
      </c>
      <c r="F77" s="9">
        <f>'Historical Cash Flow'!E15</f>
        <v>-1105</v>
      </c>
      <c r="G77" s="9">
        <f>'Historical Cash Flow'!F15</f>
        <v>-138</v>
      </c>
      <c r="H77" s="9">
        <f>G50-H50</f>
        <v>-15.452109589041356</v>
      </c>
      <c r="I77" s="9">
        <f>H50-I50</f>
        <v>31.977078619178428</v>
      </c>
      <c r="J77" s="9">
        <f>I50-J50</f>
        <v>405.1298987244918</v>
      </c>
      <c r="K77" s="9">
        <f>J50-K50</f>
        <v>-49.051257645507576</v>
      </c>
      <c r="L77" s="9">
        <f>K50-L50</f>
        <v>48.730051022857879</v>
      </c>
    </row>
    <row r="78" spans="1:18" outlineLevel="1" x14ac:dyDescent="0.3">
      <c r="A78" s="1" t="s">
        <v>79</v>
      </c>
      <c r="C78" s="9">
        <f>'Historical Cash Flow'!B16</f>
        <v>1190</v>
      </c>
      <c r="D78" s="9">
        <f>'Historical Cash Flow'!C16</f>
        <v>-29</v>
      </c>
      <c r="E78" s="9">
        <f>'Historical Cash Flow'!D16</f>
        <v>-801</v>
      </c>
      <c r="F78" s="9">
        <f>'Historical Cash Flow'!E16</f>
        <v>634</v>
      </c>
      <c r="G78" s="9">
        <f>'Historical Cash Flow'!F16</f>
        <v>297</v>
      </c>
      <c r="H78" s="9">
        <f>H57-G57</f>
        <v>-187.45657534246675</v>
      </c>
      <c r="I78" s="9">
        <f>I57-H57</f>
        <v>137.2150761643843</v>
      </c>
      <c r="J78" s="9">
        <f>J57-I57</f>
        <v>-179.73683509315015</v>
      </c>
      <c r="K78" s="9">
        <f>K57-J57</f>
        <v>126.58389069808254</v>
      </c>
      <c r="L78" s="9">
        <f>L57-K57</f>
        <v>-42.373957411178708</v>
      </c>
    </row>
    <row r="79" spans="1:18" outlineLevel="1" x14ac:dyDescent="0.3">
      <c r="A79" s="1" t="s">
        <v>175</v>
      </c>
      <c r="C79" s="9">
        <f>'Historical Cash Flow'!B12+'Historical Cash Flow'!B19+'Historical Cash Flow'!B20+'Historical Cash Flow'!B18</f>
        <v>-2</v>
      </c>
      <c r="D79" s="9">
        <f>'Historical Cash Flow'!C12+'Historical Cash Flow'!C19+'Historical Cash Flow'!C20+'Historical Cash Flow'!C18</f>
        <v>-7346</v>
      </c>
      <c r="E79" s="9">
        <f>'Historical Cash Flow'!D12+'Historical Cash Flow'!D19+'Historical Cash Flow'!D20+'Historical Cash Flow'!D18</f>
        <v>-4629</v>
      </c>
      <c r="F79" s="9">
        <f>'Historical Cash Flow'!E12+'Historical Cash Flow'!E19+'Historical Cash Flow'!E20+'Historical Cash Flow'!E18</f>
        <v>7781</v>
      </c>
      <c r="G79" s="9">
        <f>'Historical Cash Flow'!F12+'Historical Cash Flow'!F19+'Historical Cash Flow'!F20+'Historical Cash Flow'!F18</f>
        <v>-1129</v>
      </c>
      <c r="H79" s="9">
        <f>H51-G51</f>
        <v>0</v>
      </c>
      <c r="I79" s="9">
        <f>I51-H51</f>
        <v>0</v>
      </c>
      <c r="J79" s="9">
        <f>J51-I51</f>
        <v>0</v>
      </c>
      <c r="K79" s="9">
        <f>K51-J51</f>
        <v>0</v>
      </c>
      <c r="L79" s="9">
        <f>L51-K51</f>
        <v>0</v>
      </c>
    </row>
    <row r="80" spans="1:18" outlineLevel="1" x14ac:dyDescent="0.3">
      <c r="A80" s="22" t="s">
        <v>80</v>
      </c>
      <c r="B80" s="23"/>
      <c r="C80" s="24">
        <f>SUM(C73:C79)</f>
        <v>29456</v>
      </c>
      <c r="D80" s="24">
        <f>SUM(D73:D79)</f>
        <v>15433</v>
      </c>
      <c r="E80" s="24">
        <f>SUM(E73:E79)</f>
        <v>11471</v>
      </c>
      <c r="F80" s="24">
        <f>SUM(F73:F79)</f>
        <v>8288</v>
      </c>
      <c r="G80" s="24">
        <f>SUM(G73:G79)</f>
        <v>9697</v>
      </c>
      <c r="H80" s="24">
        <f>SUM(H73:H79)</f>
        <v>12075.684563287674</v>
      </c>
      <c r="I80" s="24">
        <f>SUM(I73:I79)</f>
        <v>13664.230470405484</v>
      </c>
      <c r="J80" s="24">
        <f>SUM(J73:J79)</f>
        <v>15511.81200959058</v>
      </c>
      <c r="K80" s="24">
        <f>SUM(K73:K79)</f>
        <v>16598.523866570809</v>
      </c>
      <c r="L80" s="24">
        <f>SUM(L73:L79)</f>
        <v>17962.366739561348</v>
      </c>
    </row>
    <row r="81" spans="1:12" outlineLevel="1" x14ac:dyDescent="0.3">
      <c r="A81" s="1"/>
      <c r="C81" s="1"/>
      <c r="D81" s="1"/>
      <c r="E81" s="1"/>
      <c r="F81" s="1"/>
      <c r="G81" s="1"/>
    </row>
    <row r="82" spans="1:12" outlineLevel="1" x14ac:dyDescent="0.3">
      <c r="A82" s="1" t="s">
        <v>81</v>
      </c>
      <c r="C82" s="9">
        <f>'Historical Cash Flow'!B24+'Historical Cash Flow'!B25</f>
        <v>-20329</v>
      </c>
      <c r="D82" s="9">
        <f>'Historical Cash Flow'!C24+'Historical Cash Flow'!C25</f>
        <v>-25050</v>
      </c>
      <c r="E82" s="9">
        <f>'Historical Cash Flow'!D24+'Historical Cash Flow'!D25</f>
        <v>-25750</v>
      </c>
      <c r="F82" s="9">
        <f>'Historical Cash Flow'!E24+'Historical Cash Flow'!E25</f>
        <v>-23944</v>
      </c>
      <c r="G82" s="9">
        <f>'Historical Cash Flow'!F24+'Historical Cash Flow'!F25</f>
        <v>-14646</v>
      </c>
      <c r="H82" s="9">
        <f>-H29*H18</f>
        <v>-16331.577000000001</v>
      </c>
      <c r="I82" s="9">
        <f>-I29*I18</f>
        <v>-16821.524310000001</v>
      </c>
      <c r="J82" s="9">
        <f>-J29*J18</f>
        <v>-17326.170039300003</v>
      </c>
      <c r="K82" s="9">
        <f>-K29*K18</f>
        <v>-17845.955140479004</v>
      </c>
      <c r="L82" s="9">
        <f>-L29*L18</f>
        <v>-18381.333794693375</v>
      </c>
    </row>
    <row r="83" spans="1:12" outlineLevel="1" x14ac:dyDescent="0.3">
      <c r="A83" s="1" t="s">
        <v>82</v>
      </c>
      <c r="C83" s="9">
        <f>'Historical Cash Flow'!B26+'Historical Cash Flow'!B27+'Historical Cash Flow'!B28+'Historical Cash Flow'!B29+'Historical Cash Flow'!B30+'Historical Cash Flow'!B31+'Historical Cash Flow'!B32</f>
        <v>-3954</v>
      </c>
      <c r="D83" s="9">
        <f>'Historical Cash Flow'!C26+'Historical Cash Flow'!C27+'Historical Cash Flow'!C28+'Historical Cash Flow'!C29+'Historical Cash Flow'!C30+'Historical Cash Flow'!C31+'Historical Cash Flow'!C32</f>
        <v>14819</v>
      </c>
      <c r="E83" s="9">
        <f>'Historical Cash Flow'!D26+'Historical Cash Flow'!D27+'Historical Cash Flow'!D28+'Historical Cash Flow'!D29+'Historical Cash Flow'!D30+'Historical Cash Flow'!D31+'Historical Cash Flow'!D32</f>
        <v>1709</v>
      </c>
      <c r="F83" s="9">
        <f>'Historical Cash Flow'!E26+'Historical Cash Flow'!E27+'Historical Cash Flow'!E28+'Historical Cash Flow'!E29+'Historical Cash Flow'!E30+'Historical Cash Flow'!E31+'Historical Cash Flow'!E32</f>
        <v>5688</v>
      </c>
      <c r="G83" s="9">
        <f>'Historical Cash Flow'!F26+'Historical Cash Flow'!F27+'Historical Cash Flow'!F28+'Historical Cash Flow'!F29+'Historical Cash Flow'!F30+'Historical Cash Flow'!F31+'Historical Cash Flow'!F32</f>
        <v>-175</v>
      </c>
      <c r="H83" s="9">
        <v>0</v>
      </c>
      <c r="I83" s="9">
        <f t="shared" ref="I83:L83" si="28">H83</f>
        <v>0</v>
      </c>
      <c r="J83" s="9">
        <f t="shared" si="28"/>
        <v>0</v>
      </c>
      <c r="K83" s="9">
        <f t="shared" si="28"/>
        <v>0</v>
      </c>
      <c r="L83" s="9">
        <f t="shared" si="28"/>
        <v>0</v>
      </c>
    </row>
    <row r="84" spans="1:12" outlineLevel="1" x14ac:dyDescent="0.3">
      <c r="A84" s="22" t="s">
        <v>83</v>
      </c>
      <c r="B84" s="23"/>
      <c r="C84" s="24">
        <f t="shared" ref="C84:L84" si="29">SUM(C82:C83)</f>
        <v>-24283</v>
      </c>
      <c r="D84" s="24">
        <f t="shared" si="29"/>
        <v>-10231</v>
      </c>
      <c r="E84" s="24">
        <f t="shared" si="29"/>
        <v>-24041</v>
      </c>
      <c r="F84" s="24">
        <f t="shared" si="29"/>
        <v>-18256</v>
      </c>
      <c r="G84" s="24">
        <f t="shared" si="29"/>
        <v>-14821</v>
      </c>
      <c r="H84" s="24">
        <f t="shared" si="29"/>
        <v>-16331.577000000001</v>
      </c>
      <c r="I84" s="24">
        <f t="shared" si="29"/>
        <v>-16821.524310000001</v>
      </c>
      <c r="J84" s="24">
        <f t="shared" si="29"/>
        <v>-17326.170039300003</v>
      </c>
      <c r="K84" s="24">
        <f t="shared" si="29"/>
        <v>-17845.955140479004</v>
      </c>
      <c r="L84" s="24">
        <f t="shared" si="29"/>
        <v>-18381.333794693375</v>
      </c>
    </row>
    <row r="85" spans="1:12" outlineLevel="1" x14ac:dyDescent="0.3">
      <c r="A85" s="1"/>
      <c r="C85" s="1"/>
      <c r="D85" s="1"/>
      <c r="E85" s="1"/>
      <c r="F85" s="1"/>
      <c r="G85" s="1"/>
    </row>
    <row r="86" spans="1:12" outlineLevel="1" x14ac:dyDescent="0.3">
      <c r="A86" s="1" t="s">
        <v>130</v>
      </c>
      <c r="C86" s="9">
        <f>'Historical Cash Flow'!B41+'Historical Cash Flow'!B42+'Historical Cash Flow'!B35+'Historical Cash Flow'!B36</f>
        <v>2474</v>
      </c>
      <c r="D86" s="9">
        <f>'Historical Cash Flow'!C41+'Historical Cash Flow'!C42+'Historical Cash Flow'!C35+'Historical Cash Flow'!C36</f>
        <v>5509</v>
      </c>
      <c r="E86" s="9">
        <f>'Historical Cash Flow'!D41+'Historical Cash Flow'!D42+'Historical Cash Flow'!D35+'Historical Cash Flow'!D36</f>
        <v>7024</v>
      </c>
      <c r="F86" s="9">
        <f>'Historical Cash Flow'!E41+'Historical Cash Flow'!E42+'Historical Cash Flow'!E35+'Historical Cash Flow'!E36</f>
        <v>687</v>
      </c>
      <c r="G86" s="9">
        <f>'Historical Cash Flow'!F41+'Historical Cash Flow'!F42+'Historical Cash Flow'!F35+'Historical Cash Flow'!F36</f>
        <v>-3750</v>
      </c>
      <c r="H86" s="9">
        <f>H22</f>
        <v>-1000</v>
      </c>
      <c r="I86" s="9">
        <f>I22</f>
        <v>-1000</v>
      </c>
      <c r="J86" s="9">
        <f>J22</f>
        <v>-1000</v>
      </c>
      <c r="K86" s="9">
        <f>K22</f>
        <v>-1000</v>
      </c>
      <c r="L86" s="9">
        <f>L22</f>
        <v>-1000</v>
      </c>
    </row>
    <row r="87" spans="1:12" outlineLevel="1" x14ac:dyDescent="0.3">
      <c r="A87" s="1" t="s">
        <v>84</v>
      </c>
      <c r="C87" s="9">
        <f>'Historical Cash Flow'!B47</f>
        <v>-5644</v>
      </c>
      <c r="D87" s="9">
        <f>'Historical Cash Flow'!C47</f>
        <v>-5997</v>
      </c>
      <c r="E87" s="9">
        <f>'Historical Cash Flow'!D47</f>
        <v>-3088</v>
      </c>
      <c r="F87" s="9">
        <f>'Historical Cash Flow'!E47</f>
        <v>-1599</v>
      </c>
      <c r="G87" s="9">
        <f>'Historical Cash Flow'!F47</f>
        <v>0</v>
      </c>
      <c r="H87" s="9">
        <f>-H40*H21</f>
        <v>-217.75436000000082</v>
      </c>
      <c r="I87" s="9">
        <f>-I40*I21</f>
        <v>-336.43048620000081</v>
      </c>
      <c r="J87" s="9">
        <f>-J40*J21</f>
        <v>-693.04680157200096</v>
      </c>
      <c r="K87" s="9">
        <f>-K40*K21</f>
        <v>-832.81123988902016</v>
      </c>
      <c r="L87" s="9">
        <f>-L40*L21</f>
        <v>-1102.8800276816014</v>
      </c>
    </row>
    <row r="88" spans="1:12" outlineLevel="1" x14ac:dyDescent="0.3">
      <c r="A88" s="1" t="s">
        <v>85</v>
      </c>
      <c r="C88" s="9">
        <f>'Historical Cash Flow'!B37+'Historical Cash Flow'!B38+'Historical Cash Flow'!B39+'Historical Cash Flow'!B40+'Historical Cash Flow'!B43+'Historical Cash Flow'!B44+'Historical Cash Flow'!B45+'Historical Cash Flow'!B46+'Historical Cash Flow'!B48</f>
        <v>-3041</v>
      </c>
      <c r="D88" s="9">
        <f>'Historical Cash Flow'!C37+'Historical Cash Flow'!C38+'Historical Cash Flow'!C39+'Historical Cash Flow'!C40+'Historical Cash Flow'!C43+'Historical Cash Flow'!C44+'Historical Cash Flow'!C45+'Historical Cash Flow'!C46+'Historical Cash Flow'!C48</f>
        <v>1603</v>
      </c>
      <c r="E88" s="9">
        <f>'Historical Cash Flow'!D37+'Historical Cash Flow'!D38+'Historical Cash Flow'!D39+'Historical Cash Flow'!D40+'Historical Cash Flow'!D43+'Historical Cash Flow'!D44+'Historical Cash Flow'!D45+'Historical Cash Flow'!D46+'Historical Cash Flow'!D48</f>
        <v>4569</v>
      </c>
      <c r="F88" s="9">
        <f>'Historical Cash Flow'!E37+'Historical Cash Flow'!E38+'Historical Cash Flow'!E39+'Historical Cash Flow'!E40+'Historical Cash Flow'!E43+'Historical Cash Flow'!E44+'Historical Cash Flow'!E45+'Historical Cash Flow'!E46+'Historical Cash Flow'!E48</f>
        <v>12050</v>
      </c>
      <c r="G88" s="9">
        <f>'Historical Cash Flow'!F37+'Historical Cash Flow'!F38+'Historical Cash Flow'!F39+'Historical Cash Flow'!F40+'Historical Cash Flow'!F43+'Historical Cash Flow'!F44+'Historical Cash Flow'!F45+'Historical Cash Flow'!F46+'Historical Cash Flow'!F48</f>
        <v>15337</v>
      </c>
      <c r="H88" s="9">
        <v>15337</v>
      </c>
      <c r="I88" s="9">
        <v>15337</v>
      </c>
      <c r="J88" s="9">
        <v>15337</v>
      </c>
      <c r="K88" s="9">
        <v>15337</v>
      </c>
      <c r="L88" s="9">
        <v>15337</v>
      </c>
    </row>
    <row r="89" spans="1:12" outlineLevel="1" x14ac:dyDescent="0.3">
      <c r="A89" s="22" t="s">
        <v>86</v>
      </c>
      <c r="B89" s="23"/>
      <c r="C89" s="24">
        <f t="shared" ref="C89:L89" si="30">SUM(C86:C88)</f>
        <v>-6211</v>
      </c>
      <c r="D89" s="24">
        <f t="shared" si="30"/>
        <v>1115</v>
      </c>
      <c r="E89" s="24">
        <f t="shared" si="30"/>
        <v>8505</v>
      </c>
      <c r="F89" s="24">
        <f t="shared" si="30"/>
        <v>11138</v>
      </c>
      <c r="G89" s="24">
        <f t="shared" si="30"/>
        <v>11587</v>
      </c>
      <c r="H89" s="24">
        <f t="shared" si="30"/>
        <v>14119.245639999999</v>
      </c>
      <c r="I89" s="24">
        <f t="shared" si="30"/>
        <v>14000.569513799999</v>
      </c>
      <c r="J89" s="24">
        <f t="shared" si="30"/>
        <v>13643.953198427998</v>
      </c>
      <c r="K89" s="24">
        <f t="shared" si="30"/>
        <v>13504.188760110979</v>
      </c>
      <c r="L89" s="24">
        <f t="shared" si="30"/>
        <v>13234.119972318398</v>
      </c>
    </row>
    <row r="90" spans="1:12" outlineLevel="1" x14ac:dyDescent="0.3">
      <c r="A90" s="1"/>
      <c r="C90" s="1"/>
      <c r="D90" s="1"/>
      <c r="E90" s="1"/>
      <c r="F90" s="1"/>
      <c r="G90" s="1"/>
    </row>
    <row r="91" spans="1:12" outlineLevel="1" x14ac:dyDescent="0.3">
      <c r="A91" s="17" t="s">
        <v>87</v>
      </c>
      <c r="C91" s="19">
        <f t="shared" ref="C91:L91" si="31">C80+C84+C89</f>
        <v>-1038</v>
      </c>
      <c r="D91" s="19">
        <f t="shared" si="31"/>
        <v>6317</v>
      </c>
      <c r="E91" s="19">
        <f t="shared" si="31"/>
        <v>-4065</v>
      </c>
      <c r="F91" s="19">
        <f t="shared" si="31"/>
        <v>1170</v>
      </c>
      <c r="G91" s="19">
        <f t="shared" si="31"/>
        <v>6463</v>
      </c>
      <c r="H91" s="19">
        <f t="shared" si="31"/>
        <v>9863.3532032876719</v>
      </c>
      <c r="I91" s="19">
        <f t="shared" si="31"/>
        <v>10843.275674205483</v>
      </c>
      <c r="J91" s="19">
        <f t="shared" si="31"/>
        <v>11829.595168718575</v>
      </c>
      <c r="K91" s="19">
        <f t="shared" si="31"/>
        <v>12256.757486202785</v>
      </c>
      <c r="L91" s="19">
        <f t="shared" si="31"/>
        <v>12815.152917186371</v>
      </c>
    </row>
    <row r="92" spans="1:12" outlineLevel="1" x14ac:dyDescent="0.3">
      <c r="A92" s="1" t="s">
        <v>88</v>
      </c>
      <c r="C92" s="9">
        <f>'Historical Cash Flow'!B2</f>
        <v>5865</v>
      </c>
      <c r="D92" s="9">
        <f>'Historical Cash Flow'!C2</f>
        <v>4827</v>
      </c>
      <c r="E92" s="9">
        <f>'Historical Cash Flow'!D2</f>
        <v>11144</v>
      </c>
      <c r="F92" s="9">
        <f>'Historical Cash Flow'!E2</f>
        <v>7079</v>
      </c>
      <c r="G92" s="9">
        <f>'Historical Cash Flow'!F2</f>
        <v>8249</v>
      </c>
      <c r="H92" s="15">
        <f>G93</f>
        <v>14712</v>
      </c>
      <c r="I92" s="15">
        <f t="shared" ref="I92:L92" si="32">H93</f>
        <v>24575.353203287672</v>
      </c>
      <c r="J92" s="15">
        <f t="shared" si="32"/>
        <v>35418.628877493153</v>
      </c>
      <c r="K92" s="15">
        <f t="shared" si="32"/>
        <v>47248.224046211726</v>
      </c>
      <c r="L92" s="15">
        <f t="shared" si="32"/>
        <v>59504.981532414509</v>
      </c>
    </row>
    <row r="93" spans="1:12" outlineLevel="1" x14ac:dyDescent="0.3">
      <c r="A93" s="22" t="s">
        <v>89</v>
      </c>
      <c r="B93" s="23"/>
      <c r="C93" s="24">
        <f>SUM(C91:C92)</f>
        <v>4827</v>
      </c>
      <c r="D93" s="24">
        <f t="shared" ref="D93:H93" si="33">SUM(D91:D92)</f>
        <v>11144</v>
      </c>
      <c r="E93" s="24">
        <f t="shared" si="33"/>
        <v>7079</v>
      </c>
      <c r="F93" s="24">
        <f t="shared" si="33"/>
        <v>8249</v>
      </c>
      <c r="G93" s="24">
        <f t="shared" si="33"/>
        <v>14712</v>
      </c>
      <c r="H93" s="24">
        <f t="shared" si="33"/>
        <v>24575.353203287672</v>
      </c>
      <c r="I93" s="24">
        <f t="shared" ref="I93:L93" si="34">SUM(I91:I92)</f>
        <v>35418.628877493153</v>
      </c>
      <c r="J93" s="24">
        <f t="shared" si="34"/>
        <v>47248.224046211726</v>
      </c>
      <c r="K93" s="24">
        <f t="shared" si="34"/>
        <v>59504.981532414509</v>
      </c>
      <c r="L93" s="24">
        <f t="shared" si="34"/>
        <v>72320.134449600882</v>
      </c>
    </row>
  </sheetData>
  <mergeCells count="2">
    <mergeCell ref="C1:G1"/>
    <mergeCell ref="H1:L1"/>
  </mergeCells>
  <conditionalFormatting sqref="C3:L3">
    <cfRule type="containsText" dxfId="1" priority="1" operator="containsText" text="OK">
      <formula>NOT(ISERROR(SEARCH(("OK"),(C3))))</formula>
    </cfRule>
    <cfRule type="containsText" dxfId="0" priority="2" operator="containsText" text="ERROR">
      <formula>NOT(ISERROR(SEARCH(("ERROR"),(C3))))</formula>
    </cfRule>
  </conditionalFormatting>
  <dataValidations count="1">
    <dataValidation type="list" allowBlank="1" showInputMessage="1" showErrorMessage="1" sqref="C5" xr:uid="{ABE5A7B2-E483-4E31-87AE-F43871772C4A}">
      <formula1>"Base,Bull,Bear"</formula1>
    </dataValidation>
  </dataValidations>
  <pageMargins left="0.7" right="0.7" top="0.75" bottom="0.75" header="0.3" footer="0.3"/>
  <ignoredErrors>
    <ignoredError sqref="H65 H52:L52 H59 I59:L59 I65:L6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5037-80C5-44A8-AB7F-01DF55099153}">
  <sheetPr>
    <tabColor rgb="FF002060"/>
  </sheetPr>
  <dimension ref="A1:E2"/>
  <sheetViews>
    <sheetView workbookViewId="0">
      <pane ySplit="1" topLeftCell="A2" activePane="bottomLeft" state="frozen"/>
      <selection pane="bottomLeft" activeCell="C2" sqref="C2"/>
    </sheetView>
  </sheetViews>
  <sheetFormatPr defaultRowHeight="12.75" x14ac:dyDescent="0.2"/>
  <cols>
    <col min="1" max="1" width="21.42578125" style="1" bestFit="1" customWidth="1"/>
    <col min="2" max="2" width="46.5703125" style="1" bestFit="1" customWidth="1"/>
    <col min="3" max="3" width="7.5703125" style="1" bestFit="1" customWidth="1"/>
    <col min="4" max="4" width="6.7109375" style="1" bestFit="1" customWidth="1"/>
    <col min="5" max="5" width="7.140625" style="1" bestFit="1" customWidth="1"/>
    <col min="6" max="16384" width="9.140625" style="1"/>
  </cols>
  <sheetData>
    <row r="1" spans="1:5" x14ac:dyDescent="0.2">
      <c r="A1" s="1" t="s">
        <v>122</v>
      </c>
      <c r="B1" s="1" t="s">
        <v>123</v>
      </c>
      <c r="C1" s="1" t="s">
        <v>127</v>
      </c>
      <c r="D1" s="1" t="s">
        <v>128</v>
      </c>
      <c r="E1" s="1" t="s">
        <v>129</v>
      </c>
    </row>
    <row r="2" spans="1:5" x14ac:dyDescent="0.2">
      <c r="A2" s="1" t="s">
        <v>58</v>
      </c>
      <c r="B2" s="1" t="s">
        <v>124</v>
      </c>
      <c r="C2" s="25">
        <v>0.03</v>
      </c>
      <c r="D2" s="25">
        <v>0.06</v>
      </c>
      <c r="E2" s="25">
        <v>-0.01</v>
      </c>
    </row>
  </sheetData>
  <autoFilter ref="A1:E1" xr:uid="{1E905037-80C5-44A8-AB7F-01DF5509915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Historical P&amp;L</vt:lpstr>
      <vt:lpstr>Historical Balance Sheet</vt:lpstr>
      <vt:lpstr>Historical Cash Flow</vt:lpstr>
      <vt:lpstr>Financial Model &amp; Forecast</vt:lpstr>
      <vt:lpstr>Scenario Assumptions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2026-04-10T11:34:31Z</dcterms:created>
  <dcterms:modified xsi:type="dcterms:W3CDTF">2026-05-05T00:04:19Z</dcterms:modified>
</cp:coreProperties>
</file>